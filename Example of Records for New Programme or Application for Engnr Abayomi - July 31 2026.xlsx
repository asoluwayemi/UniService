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ctive Staff" sheetId="1" r:id="rId1"/>
  </sheets>
  <definedNames>
    <definedName name="_xlnm._FilterDatabase" localSheetId="0" hidden="1">'Active Staff'!#REF!</definedName>
    <definedName name="_MD2">'Active Staff'!#REF!</definedName>
    <definedName name="ChkDesgnatDate">'Active Staff'!#REF!</definedName>
    <definedName name="depts">'Active Staff'!#REF!</definedName>
    <definedName name="dorothers2">'Active Staff'!$G$3:$J$380</definedName>
    <definedName name="MD">'Active Staff'!#REF!</definedName>
    <definedName name="NTRtdRsgd">'Active Staff'!#REF!</definedName>
    <definedName name="OK">'Active Staff'!#REF!</definedName>
    <definedName name="StateLG">'Active Staff'!#REF!</definedName>
    <definedName name="TeachnonLeave">'Active Staff'!#REF!</definedName>
  </definedNames>
  <calcPr calcId="124519" iterate="1"/>
</workbook>
</file>

<file path=xl/calcChain.xml><?xml version="1.0" encoding="utf-8"?>
<calcChain xmlns="http://schemas.openxmlformats.org/spreadsheetml/2006/main">
  <c r="B4" i="1"/>
  <c r="AR6"/>
  <c r="AQ6"/>
  <c r="AJ6"/>
  <c r="F6"/>
  <c r="B6"/>
  <c r="AR5"/>
  <c r="AQ5"/>
  <c r="AJ5"/>
  <c r="F5"/>
  <c r="B5"/>
  <c r="AR4"/>
  <c r="AQ4"/>
  <c r="F4"/>
</calcChain>
</file>

<file path=xl/sharedStrings.xml><?xml version="1.0" encoding="utf-8"?>
<sst xmlns="http://schemas.openxmlformats.org/spreadsheetml/2006/main" count="223" uniqueCount="180">
  <si>
    <t>Senior Admin</t>
  </si>
  <si>
    <t>Junior Admin</t>
  </si>
  <si>
    <t>Senior Technical</t>
  </si>
  <si>
    <t>Junior Technical</t>
  </si>
  <si>
    <t>Academic/Non Academic Leave</t>
  </si>
  <si>
    <t>Started (Yes/No)?</t>
  </si>
  <si>
    <t>First Approval (Date)</t>
  </si>
  <si>
    <t>From</t>
  </si>
  <si>
    <t>To</t>
  </si>
  <si>
    <t>Leave Finished?</t>
  </si>
  <si>
    <t>Staff ID</t>
  </si>
  <si>
    <t>S/Nos</t>
  </si>
  <si>
    <t>Surnames</t>
  </si>
  <si>
    <t>Other Names</t>
  </si>
  <si>
    <t>Staff on Various Leave / Redeployment</t>
  </si>
  <si>
    <t>Qualifications</t>
  </si>
  <si>
    <t>State of Origin</t>
  </si>
  <si>
    <t>Local Govt Area</t>
  </si>
  <si>
    <t>Department</t>
  </si>
  <si>
    <t>Sub-Department</t>
  </si>
  <si>
    <t>Faculty</t>
  </si>
  <si>
    <t>Sex</t>
  </si>
  <si>
    <t>Marital Status</t>
  </si>
  <si>
    <t>Dbirth</t>
  </si>
  <si>
    <t>Age On Entry</t>
  </si>
  <si>
    <t>D1appt</t>
  </si>
  <si>
    <t>Designation on First Appointment</t>
  </si>
  <si>
    <t>Names of Next of Kin</t>
  </si>
  <si>
    <t>Address of Next of Kin</t>
  </si>
  <si>
    <t>Prev.Appts b4 U.I</t>
  </si>
  <si>
    <t>New Date of Retirement Based on DOB</t>
  </si>
  <si>
    <t>DpresAppt</t>
  </si>
  <si>
    <t>Dconfirm</t>
  </si>
  <si>
    <t>Aca</t>
  </si>
  <si>
    <t>Temporary / Permanent</t>
  </si>
  <si>
    <t>Permanent Date</t>
  </si>
  <si>
    <t>Category</t>
  </si>
  <si>
    <t>Cadre1</t>
  </si>
  <si>
    <t>Cadre2</t>
  </si>
  <si>
    <t>Present Post</t>
  </si>
  <si>
    <t>Area of Specialisation</t>
  </si>
  <si>
    <t xml:space="preserve">TYPE </t>
  </si>
  <si>
    <t>CONTISS</t>
  </si>
  <si>
    <t>Step</t>
  </si>
  <si>
    <t>Salary P/A</t>
  </si>
  <si>
    <t>Trans. Allow</t>
  </si>
  <si>
    <t>Housing Allow</t>
  </si>
  <si>
    <t>Remarls</t>
  </si>
  <si>
    <t>EMAIL ADDRESS</t>
  </si>
  <si>
    <t>PHONE NUMBERS</t>
  </si>
  <si>
    <t>Tally Count (ALL)</t>
  </si>
  <si>
    <t>All Teachings</t>
  </si>
  <si>
    <t>All Non Teachings</t>
  </si>
  <si>
    <t>Senior</t>
  </si>
  <si>
    <t>Junior</t>
  </si>
  <si>
    <t>Teaching only</t>
  </si>
  <si>
    <t>Teaching on Payroll</t>
  </si>
  <si>
    <t>Adjunct, Associate, etc</t>
  </si>
  <si>
    <t>MD</t>
  </si>
  <si>
    <t>Control</t>
  </si>
  <si>
    <t>Cadre Category</t>
  </si>
  <si>
    <t>Maternity</t>
  </si>
  <si>
    <t>Study</t>
  </si>
  <si>
    <t>Sabbatical</t>
  </si>
  <si>
    <t>Annual</t>
  </si>
  <si>
    <t>Research</t>
  </si>
  <si>
    <t>Absence</t>
  </si>
  <si>
    <t>Research / Conference</t>
  </si>
  <si>
    <t>Annual / Research</t>
  </si>
  <si>
    <t>Working</t>
  </si>
  <si>
    <t>Staff Dev. Training</t>
  </si>
  <si>
    <t>Any Leave</t>
  </si>
  <si>
    <t>Leave End Date</t>
  </si>
  <si>
    <t>Today</t>
  </si>
  <si>
    <t>Flashing</t>
  </si>
  <si>
    <t>Purely Academics</t>
  </si>
  <si>
    <t>Admin + Techn Total</t>
  </si>
  <si>
    <t>Dretiring Based on 65/70 Years</t>
  </si>
  <si>
    <t>Former Dretiring</t>
  </si>
  <si>
    <t>Conference</t>
  </si>
  <si>
    <t>Exam</t>
  </si>
  <si>
    <t>Staff Development</t>
  </si>
  <si>
    <t>SUB-DEANS</t>
  </si>
  <si>
    <t>HEADSHIP</t>
  </si>
  <si>
    <t>DEPT.</t>
  </si>
  <si>
    <t>FACULTY</t>
  </si>
  <si>
    <t>FROM</t>
  </si>
  <si>
    <t>TO</t>
  </si>
  <si>
    <t>UHS WELLNESS</t>
  </si>
  <si>
    <t>Coll.Office / Prov.Office / Faculty</t>
  </si>
  <si>
    <t>2 YEARS</t>
  </si>
  <si>
    <t>3YEARS</t>
  </si>
  <si>
    <t>Oyo</t>
  </si>
  <si>
    <t>SD</t>
  </si>
  <si>
    <t>F</t>
  </si>
  <si>
    <t>Married</t>
  </si>
  <si>
    <t>C</t>
  </si>
  <si>
    <t>S</t>
  </si>
  <si>
    <t>Mr.</t>
  </si>
  <si>
    <t>Techn</t>
  </si>
  <si>
    <t>Osun</t>
  </si>
  <si>
    <t>M</t>
  </si>
  <si>
    <t>Sec.Assist.</t>
  </si>
  <si>
    <t>Secretarial</t>
  </si>
  <si>
    <t>College Office</t>
  </si>
  <si>
    <t>Ondo</t>
  </si>
  <si>
    <t>Computer &amp; IT</t>
  </si>
  <si>
    <t>Computer Operation</t>
  </si>
  <si>
    <t>Human Resource &amp; Development Unit</t>
  </si>
  <si>
    <t>CM/PF.2739</t>
  </si>
  <si>
    <t>OLADEJO</t>
  </si>
  <si>
    <t>Lateef Omosanjo</t>
  </si>
  <si>
    <t>Resumed to the Office  07/11/2006</t>
  </si>
  <si>
    <t>Pry Six Cert.(1986), SSCE (1992), Cert. Data Processing (2002), ND Comp.Sci.(2007), HND Comp.Sci.(2023)</t>
  </si>
  <si>
    <t>Ibadan North West</t>
  </si>
  <si>
    <t>Computer Operator II</t>
  </si>
  <si>
    <t>Mrs. Esther Adejoke Oladejo (Wife), Ezekiel Oluwatobi Oladejo (Son)</t>
  </si>
  <si>
    <t>N4/452, Oke Apon, Bodija, Ibadan</t>
  </si>
  <si>
    <t>Computer Operator Officer II</t>
  </si>
  <si>
    <t>Promoted in January 2022; Promoted in April 2025</t>
  </si>
  <si>
    <t>engineersanjo@yahoo.co.uk engineersanjo@gmail.com</t>
  </si>
  <si>
    <t>07062775718 08090739176</t>
  </si>
  <si>
    <t>Higher Data Processing Officer</t>
  </si>
  <si>
    <t>CM/PF.3287</t>
  </si>
  <si>
    <t>OLUWAYEMI</t>
  </si>
  <si>
    <t>Abayomi Samuel</t>
  </si>
  <si>
    <t>Resumed in the Department wef 02/01/2015; Redeployed from Infectious Disease Institute to Department of Basic Medical Laboratory Sciences wef 11/11/2024</t>
  </si>
  <si>
    <t>Prof. Dip. In Information Tech. (2010); ND in Comp. Sci. (2008); SSCE (2001); B.Sc. (Hons) Computer Sci. Ladoke Akintola Univ. of Technol. (2023)</t>
  </si>
  <si>
    <t>Ilesa West</t>
  </si>
  <si>
    <t>Data Processing Officer</t>
  </si>
  <si>
    <t>Oluwayemi A. Samuel</t>
  </si>
  <si>
    <t>Room B49, Soweto, UCH, Ibadan.</t>
  </si>
  <si>
    <t>Appointed in October 2016; Confirmed in August 2019; Promoted in November 2023</t>
  </si>
  <si>
    <t>asoluwayemi@gmail.com</t>
  </si>
  <si>
    <t>07038476839</t>
  </si>
  <si>
    <t>Dr.</t>
  </si>
  <si>
    <t>Academic</t>
  </si>
  <si>
    <t>A</t>
  </si>
  <si>
    <t>Ibadan South West</t>
  </si>
  <si>
    <t>FBCS</t>
  </si>
  <si>
    <t>Lecturer I</t>
  </si>
  <si>
    <t>Haematology</t>
  </si>
  <si>
    <t>Professor</t>
  </si>
  <si>
    <t>CM/PF.2418</t>
  </si>
  <si>
    <t>AKINGBOLA</t>
  </si>
  <si>
    <t>Titilola Stella</t>
  </si>
  <si>
    <t>2021 Research/Conference Leave wef 22/07/2021 - 26/08/2021, 4 Years Study Leave (With Pay) wef 23/08/2021 - 22/08/2025</t>
  </si>
  <si>
    <t>MB: BS. (Ib.), FMC Path. (Nig.)</t>
  </si>
  <si>
    <t>Dr. Olufemi Akingbola (Husband), Pelumi Akingbola (Daughter)</t>
  </si>
  <si>
    <t>University Health Services, University of Ibadan, Ibadan</t>
  </si>
  <si>
    <t>Promoted in December 2022 (Senior Lecturer - Reader); Promoted in August 2025 (Reader - Professor)</t>
  </si>
  <si>
    <t>titiakingbola@yahoo.com</t>
  </si>
  <si>
    <t>08037287188</t>
  </si>
  <si>
    <t>CM/PF.1834</t>
  </si>
  <si>
    <t>OGUNBIYI</t>
  </si>
  <si>
    <t>John Olufemi</t>
  </si>
  <si>
    <t>Part of 2018 Annual Leave wef 13/08/2018 - 29/10/2018</t>
  </si>
  <si>
    <t>MB: BS. (Lagos), FWACP (Lab Med)</t>
  </si>
  <si>
    <t>Ilesa</t>
  </si>
  <si>
    <t>Pathology</t>
  </si>
  <si>
    <t>Prof.</t>
  </si>
  <si>
    <t>Laboratory Medicine</t>
  </si>
  <si>
    <t>f_ogunbiyi@yahoo.com</t>
  </si>
  <si>
    <t>08023231728 08070980600</t>
  </si>
  <si>
    <t>Medicine</t>
  </si>
  <si>
    <t>FCS</t>
  </si>
  <si>
    <t>Gastroenterology</t>
  </si>
  <si>
    <t>CM/PF.2801</t>
  </si>
  <si>
    <t>AKERE</t>
  </si>
  <si>
    <t>Adegboyega</t>
  </si>
  <si>
    <t>Balance of Annual Leave wef 04/10/2021 - 29/10/2021; Part of 2021 Research/Conference Leave wef 01/11/2021 - 04/11/2021; Part of 2022 Research/Conference Leave wef 07/03/2022 - 18/03/2022; 2022 Annual &amp; Research/Conference Leave wef 25/10/2022 - 15/11/2022, 16/11/2022 - 28/12/2022; Leave of Absence (2 Years) wef 02/01/2024 - 31/12/2025</t>
  </si>
  <si>
    <t>MD(Gen.Medicine)1995, FWACP(2005)</t>
  </si>
  <si>
    <t>Olajumoke Modupe AKERE</t>
  </si>
  <si>
    <t>5, Road C, Tinubu Layout, Monatan, Ibadan</t>
  </si>
  <si>
    <t>LAUTECH, Lecturer I, 2005-2007</t>
  </si>
  <si>
    <t>Promoted in December 2022 (Senior Lecturer - Professor)</t>
  </si>
  <si>
    <t>adeakere@yahoo.co.uk</t>
  </si>
  <si>
    <t>08033257211</t>
  </si>
  <si>
    <t>Teaching / Academic Staff</t>
  </si>
  <si>
    <t>Non-Teaching / Non-Academic Staff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</si>
</sst>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dd/mm/yyyy;@"/>
    <numFmt numFmtId="165" formatCode="_(* #,##0.00_);_(* \(#,##0.00\);_(* &quot;-&quot;??_);_(@_)"/>
  </numFmts>
  <fonts count="19"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u/>
      <sz val="10"/>
      <name val="Calisto MT"/>
      <family val="1"/>
    </font>
    <font>
      <b/>
      <sz val="8"/>
      <name val="Calisto MT"/>
      <family val="1"/>
    </font>
    <font>
      <sz val="8"/>
      <name val="Calisto MT"/>
      <family val="1"/>
    </font>
    <font>
      <b/>
      <u/>
      <sz val="8"/>
      <name val="Calisto MT"/>
      <family val="1"/>
    </font>
    <font>
      <b/>
      <sz val="8"/>
      <name val="Arial"/>
      <family val="2"/>
    </font>
    <font>
      <b/>
      <sz val="6"/>
      <name val="Calisto MT"/>
      <family val="1"/>
    </font>
    <font>
      <sz val="8"/>
      <name val="Arial"/>
      <family val="2"/>
    </font>
    <font>
      <b/>
      <sz val="8"/>
      <color indexed="10"/>
      <name val="Calisto MT"/>
      <family val="1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15"/>
      <color indexed="56"/>
      <name val="Calibri"/>
      <family val="2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lightHorizontal">
        <fgColor indexed="13"/>
      </patternFill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7">
    <xf numFmtId="0" fontId="0" fillId="0" borderId="0"/>
    <xf numFmtId="0" fontId="5" fillId="3" borderId="0">
      <alignment vertical="center" wrapText="1"/>
    </xf>
    <xf numFmtId="0" fontId="15" fillId="3" borderId="0">
      <alignment vertical="center" wrapText="1"/>
    </xf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16" fillId="0" borderId="0"/>
    <xf numFmtId="0" fontId="17" fillId="4" borderId="3" applyNumberFormat="0" applyFont="0" applyAlignment="0" applyProtection="0"/>
    <xf numFmtId="0" fontId="17" fillId="4" borderId="3" applyNumberFormat="0" applyFont="0" applyAlignment="0" applyProtection="0"/>
    <xf numFmtId="0" fontId="18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/>
    <xf numFmtId="1" fontId="5" fillId="0" borderId="0" xfId="0" applyNumberFormat="1" applyFont="1" applyAlignment="1">
      <alignment horizontal="center" vertical="center"/>
    </xf>
    <xf numFmtId="0" fontId="0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 readingOrder="1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4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readingOrder="1"/>
    </xf>
    <xf numFmtId="1" fontId="5" fillId="0" borderId="0" xfId="0" applyNumberFormat="1" applyFont="1" applyAlignment="1">
      <alignment horizontal="center" vertical="center" readingOrder="1"/>
    </xf>
    <xf numFmtId="49" fontId="5" fillId="0" borderId="0" xfId="0" applyNumberFormat="1" applyFont="1" applyFill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 wrapText="1"/>
    </xf>
    <xf numFmtId="0" fontId="5" fillId="0" borderId="0" xfId="0" applyFont="1" applyFill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/>
    </xf>
    <xf numFmtId="0" fontId="14" fillId="0" borderId="0" xfId="0" applyFont="1"/>
    <xf numFmtId="0" fontId="11" fillId="0" borderId="0" xfId="0" applyFont="1" applyAlignment="1">
      <alignment horizontal="center"/>
    </xf>
    <xf numFmtId="164" fontId="6" fillId="0" borderId="0" xfId="0" applyNumberFormat="1" applyFont="1" applyAlignment="1">
      <alignment vertical="center"/>
    </xf>
  </cellXfs>
  <cellStyles count="17">
    <cellStyle name="Blinking" xfId="1"/>
    <cellStyle name="Blinking 2" xfId="2"/>
    <cellStyle name="Comma 2" xfId="3"/>
    <cellStyle name="Comma 2 2" xfId="4"/>
    <cellStyle name="Comma 3" xfId="5"/>
    <cellStyle name="Hyperlink 2" xfId="6"/>
    <cellStyle name="Normal" xfId="0" builtinId="0"/>
    <cellStyle name="Normal 13" xfId="7"/>
    <cellStyle name="Normal 2" xfId="8"/>
    <cellStyle name="Normal 2 10" xfId="9"/>
    <cellStyle name="Normal 3 2" xfId="10"/>
    <cellStyle name="Normal 4" xfId="11"/>
    <cellStyle name="Normal 5" xfId="12"/>
    <cellStyle name="Normal 6" xfId="13"/>
    <cellStyle name="Note 2" xfId="14"/>
    <cellStyle name="Note 3" xfId="15"/>
    <cellStyle name="Warning Text 2" xfId="1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gbamisamuel@yahoo.com" TargetMode="External"/><Relationship Id="rId2" Type="http://schemas.openxmlformats.org/officeDocument/2006/relationships/hyperlink" Target="mailto:adeakere@yahoo.co.uk" TargetMode="External"/><Relationship Id="rId1" Type="http://schemas.openxmlformats.org/officeDocument/2006/relationships/hyperlink" Target="mailto:asoluwayem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f_ogunbiy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7"/>
  </sheetPr>
  <dimension ref="A1:DM380"/>
  <sheetViews>
    <sheetView tabSelected="1" topLeftCell="A4" zoomScale="110" zoomScaleNormal="110" workbookViewId="0">
      <selection activeCell="AT10" sqref="AT10"/>
    </sheetView>
  </sheetViews>
  <sheetFormatPr defaultRowHeight="12.75"/>
  <cols>
    <col min="1" max="3" width="14.42578125" style="5" customWidth="1"/>
    <col min="4" max="4" width="11.140625" style="5" customWidth="1"/>
    <col min="5" max="6" width="9.85546875" style="5" customWidth="1"/>
    <col min="7" max="7" width="18.42578125" customWidth="1"/>
    <col min="8" max="8" width="9" customWidth="1"/>
    <col min="9" max="9" width="18" customWidth="1"/>
    <col min="10" max="10" width="19.140625" customWidth="1"/>
    <col min="11" max="11" width="53.140625" style="5" customWidth="1"/>
    <col min="12" max="12" width="53.140625" customWidth="1"/>
    <col min="14" max="14" width="13.85546875" customWidth="1"/>
    <col min="15" max="15" width="21.28515625" customWidth="1"/>
    <col min="16" max="16" width="18.28515625" customWidth="1"/>
    <col min="17" max="17" width="9.5703125" bestFit="1" customWidth="1"/>
    <col min="18" max="18" width="6.28515625" customWidth="1"/>
    <col min="19" max="19" width="5.28515625" customWidth="1"/>
    <col min="20" max="20" width="7.42578125" bestFit="1" customWidth="1"/>
    <col min="21" max="21" width="11.28515625" customWidth="1"/>
    <col min="22" max="22" width="6.28515625" customWidth="1"/>
    <col min="23" max="23" width="11" customWidth="1"/>
    <col min="24" max="24" width="22.28515625" customWidth="1"/>
    <col min="25" max="25" width="46.5703125" customWidth="1"/>
    <col min="26" max="26" width="57.28515625" bestFit="1" customWidth="1"/>
    <col min="27" max="27" width="34" customWidth="1"/>
    <col min="28" max="28" width="13.140625" customWidth="1"/>
    <col min="29" max="29" width="10.85546875" customWidth="1"/>
    <col min="30" max="30" width="11.140625" customWidth="1"/>
    <col min="31" max="31" width="6.42578125" customWidth="1"/>
    <col min="32" max="32" width="13" customWidth="1"/>
    <col min="33" max="33" width="18" bestFit="1" customWidth="1"/>
    <col min="34" max="35" width="9.85546875" customWidth="1"/>
    <col min="36" max="36" width="16.7109375" customWidth="1"/>
    <col min="37" max="37" width="30.140625" customWidth="1"/>
    <col min="38" max="38" width="41.140625" customWidth="1"/>
    <col min="39" max="39" width="5" bestFit="1" customWidth="1"/>
    <col min="40" max="40" width="8" bestFit="1" customWidth="1"/>
    <col min="41" max="41" width="4.140625" bestFit="1" customWidth="1"/>
    <col min="42" max="42" width="14.140625" customWidth="1"/>
    <col min="43" max="43" width="12.5703125" customWidth="1"/>
    <col min="44" max="44" width="12.28515625" customWidth="1"/>
    <col min="45" max="45" width="50" style="1" customWidth="1"/>
    <col min="46" max="46" width="30.28515625" customWidth="1"/>
    <col min="47" max="47" width="13" customWidth="1"/>
    <col min="48" max="48" width="9.28515625" customWidth="1"/>
    <col min="49" max="50" width="8.140625" bestFit="1" customWidth="1"/>
    <col min="51" max="52" width="8.140625" customWidth="1"/>
    <col min="53" max="53" width="8.28515625" customWidth="1"/>
    <col min="54" max="54" width="8.7109375" customWidth="1"/>
    <col min="55" max="57" width="8.28515625" customWidth="1"/>
    <col min="58" max="59" width="10.85546875" customWidth="1"/>
    <col min="60" max="60" width="8.28515625" style="5" bestFit="1" customWidth="1"/>
    <col min="61" max="61" width="5" style="5" bestFit="1" customWidth="1"/>
    <col min="62" max="62" width="8.7109375" style="5" bestFit="1" customWidth="1"/>
    <col min="63" max="63" width="6.7109375" style="5" bestFit="1" customWidth="1"/>
    <col min="64" max="64" width="7.28515625" style="5" bestFit="1" customWidth="1"/>
    <col min="65" max="65" width="6.85546875" style="5" bestFit="1" customWidth="1"/>
    <col min="66" max="66" width="9.28515625" style="5" customWidth="1"/>
    <col min="67" max="68" width="6.85546875" style="5" customWidth="1"/>
    <col min="69" max="69" width="9" style="5" bestFit="1" customWidth="1"/>
    <col min="70" max="70" width="8.5703125" style="5" bestFit="1" customWidth="1"/>
    <col min="71" max="71" width="8.5703125" style="5" customWidth="1"/>
    <col min="72" max="72" width="10.140625" style="5" bestFit="1" customWidth="1"/>
    <col min="73" max="73" width="9.5703125" style="5" customWidth="1"/>
    <col min="74" max="74" width="19" style="5" bestFit="1" customWidth="1"/>
    <col min="75" max="75" width="9.5703125" bestFit="1" customWidth="1"/>
    <col min="76" max="82" width="8.28515625" customWidth="1"/>
    <col min="83" max="84" width="9.140625" style="2"/>
    <col min="85" max="86" width="7.7109375" style="2" bestFit="1" customWidth="1"/>
    <col min="88" max="88" width="11.42578125" customWidth="1"/>
    <col min="89" max="90" width="10.28515625" customWidth="1"/>
    <col min="98" max="98" width="8.7109375" customWidth="1"/>
    <col min="99" max="99" width="13.5703125" customWidth="1"/>
    <col min="100" max="100" width="10.42578125" customWidth="1"/>
    <col min="101" max="101" width="14.28515625" customWidth="1"/>
    <col min="103" max="104" width="9.5703125" bestFit="1" customWidth="1"/>
    <col min="114" max="114" width="9.140625" style="3"/>
    <col min="115" max="116" width="10.140625" bestFit="1" customWidth="1"/>
  </cols>
  <sheetData>
    <row r="1" spans="1:116" ht="39.75" customHeight="1" thickTop="1" thickBot="1">
      <c r="A1" s="14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5" t="s">
        <v>11</v>
      </c>
      <c r="I1" s="15" t="s">
        <v>12</v>
      </c>
      <c r="J1" s="15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/>
      <c r="S1" s="16" t="s">
        <v>21</v>
      </c>
      <c r="T1" s="17" t="s">
        <v>22</v>
      </c>
      <c r="U1" s="18" t="s">
        <v>23</v>
      </c>
      <c r="V1" s="14" t="s">
        <v>24</v>
      </c>
      <c r="W1" s="14" t="s">
        <v>25</v>
      </c>
      <c r="X1" s="13" t="s">
        <v>26</v>
      </c>
      <c r="Y1" s="14" t="s">
        <v>27</v>
      </c>
      <c r="Z1" s="14" t="s">
        <v>28</v>
      </c>
      <c r="AA1" s="14" t="s">
        <v>29</v>
      </c>
      <c r="AB1" s="18" t="s">
        <v>30</v>
      </c>
      <c r="AC1" s="14" t="s">
        <v>31</v>
      </c>
      <c r="AD1" s="14" t="s">
        <v>32</v>
      </c>
      <c r="AE1" s="14" t="s">
        <v>33</v>
      </c>
      <c r="AF1" s="14" t="s">
        <v>34</v>
      </c>
      <c r="AG1" s="14" t="s">
        <v>35</v>
      </c>
      <c r="AH1" s="19" t="s">
        <v>36</v>
      </c>
      <c r="AI1" s="19" t="s">
        <v>37</v>
      </c>
      <c r="AJ1" s="19" t="s">
        <v>38</v>
      </c>
      <c r="AK1" s="14" t="s">
        <v>39</v>
      </c>
      <c r="AL1" s="20" t="s">
        <v>40</v>
      </c>
      <c r="AM1" s="14" t="s">
        <v>41</v>
      </c>
      <c r="AN1" s="14" t="s">
        <v>42</v>
      </c>
      <c r="AO1" s="14" t="s">
        <v>43</v>
      </c>
      <c r="AP1" s="21" t="s">
        <v>44</v>
      </c>
      <c r="AQ1" s="21" t="s">
        <v>45</v>
      </c>
      <c r="AR1" s="21" t="s">
        <v>46</v>
      </c>
      <c r="AS1" s="15" t="s">
        <v>47</v>
      </c>
      <c r="AT1" s="20" t="s">
        <v>48</v>
      </c>
      <c r="AU1" s="20" t="s">
        <v>49</v>
      </c>
      <c r="AV1" s="14" t="s">
        <v>50</v>
      </c>
      <c r="AW1" s="14" t="s">
        <v>51</v>
      </c>
      <c r="AX1" s="14" t="s">
        <v>52</v>
      </c>
      <c r="AY1" s="14" t="s">
        <v>53</v>
      </c>
      <c r="AZ1" s="14" t="s">
        <v>54</v>
      </c>
      <c r="BA1" s="14" t="s">
        <v>55</v>
      </c>
      <c r="BB1" s="14" t="s">
        <v>56</v>
      </c>
      <c r="BC1" s="14" t="s">
        <v>57</v>
      </c>
      <c r="BD1" s="14" t="s">
        <v>58</v>
      </c>
      <c r="BE1" s="14" t="s">
        <v>59</v>
      </c>
      <c r="BF1" s="14"/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/>
      <c r="BV1" s="14" t="s">
        <v>74</v>
      </c>
      <c r="BW1" s="14"/>
      <c r="BX1" s="14"/>
      <c r="BY1" s="14" t="s">
        <v>75</v>
      </c>
      <c r="BZ1" s="14"/>
      <c r="CA1" s="14"/>
      <c r="CB1" s="14"/>
      <c r="CC1" s="14"/>
      <c r="CD1" s="14"/>
      <c r="CE1" s="14" t="s">
        <v>0</v>
      </c>
      <c r="CF1" s="14" t="s">
        <v>1</v>
      </c>
      <c r="CG1" s="14" t="s">
        <v>2</v>
      </c>
      <c r="CH1" s="14" t="s">
        <v>3</v>
      </c>
      <c r="CI1" s="14" t="s">
        <v>76</v>
      </c>
      <c r="CJ1" s="14" t="s">
        <v>77</v>
      </c>
      <c r="CK1" s="14" t="s">
        <v>78</v>
      </c>
      <c r="CL1" s="14"/>
      <c r="CM1" s="14" t="s">
        <v>64</v>
      </c>
      <c r="CN1" s="14" t="s">
        <v>65</v>
      </c>
      <c r="CO1" s="14" t="s">
        <v>62</v>
      </c>
      <c r="CP1" s="14" t="s">
        <v>63</v>
      </c>
      <c r="CQ1" s="14" t="s">
        <v>79</v>
      </c>
      <c r="CR1" s="14" t="s">
        <v>80</v>
      </c>
      <c r="CS1" s="14" t="s">
        <v>61</v>
      </c>
      <c r="CT1" s="14" t="s">
        <v>81</v>
      </c>
      <c r="CU1" s="14" t="s">
        <v>82</v>
      </c>
      <c r="CV1" s="14" t="s">
        <v>83</v>
      </c>
      <c r="CW1" s="14" t="s">
        <v>84</v>
      </c>
      <c r="CX1" s="14" t="s">
        <v>85</v>
      </c>
      <c r="CY1" s="14" t="s">
        <v>86</v>
      </c>
      <c r="CZ1" s="14" t="s">
        <v>87</v>
      </c>
      <c r="DA1" s="22"/>
      <c r="DB1" s="22"/>
      <c r="DC1" s="22"/>
      <c r="DD1" s="22"/>
      <c r="DG1" s="15" t="s">
        <v>88</v>
      </c>
      <c r="DH1" s="23"/>
      <c r="DI1" s="24" t="s">
        <v>89</v>
      </c>
      <c r="DK1" t="s">
        <v>90</v>
      </c>
      <c r="DL1" t="s">
        <v>91</v>
      </c>
    </row>
    <row r="2" spans="1:116">
      <c r="A2" s="25"/>
      <c r="B2" s="25"/>
      <c r="C2" s="25"/>
      <c r="D2" s="25"/>
      <c r="E2" s="25"/>
      <c r="F2" s="25"/>
      <c r="G2" s="25"/>
      <c r="H2" s="23"/>
      <c r="I2" s="23"/>
      <c r="J2" s="23"/>
      <c r="K2" s="25"/>
      <c r="L2" s="26"/>
      <c r="M2" s="25"/>
      <c r="N2" s="25"/>
      <c r="O2" s="25"/>
      <c r="P2" s="25"/>
      <c r="Q2" s="25"/>
      <c r="R2" s="25"/>
      <c r="S2" s="27"/>
      <c r="T2" s="28"/>
      <c r="U2" s="29"/>
      <c r="V2" s="25"/>
      <c r="W2" s="25"/>
      <c r="X2" s="25"/>
      <c r="Y2" s="25"/>
      <c r="Z2" s="25"/>
      <c r="AA2" s="25"/>
      <c r="AB2" s="29"/>
      <c r="AC2" s="25"/>
      <c r="AD2" s="25"/>
      <c r="AE2" s="25"/>
      <c r="AF2" s="25"/>
      <c r="AG2" s="25"/>
      <c r="AH2" s="30"/>
      <c r="AI2" s="30"/>
      <c r="AJ2" s="30"/>
      <c r="AK2" s="25"/>
      <c r="AL2" s="31"/>
      <c r="AM2" s="25"/>
      <c r="AN2" s="25"/>
      <c r="AO2" s="25"/>
      <c r="AP2" s="32"/>
      <c r="AQ2" s="32"/>
      <c r="AR2" s="32"/>
      <c r="AS2" s="23"/>
      <c r="AT2" s="31"/>
      <c r="AU2" s="31"/>
      <c r="AV2" s="31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2"/>
      <c r="DB2" s="22"/>
      <c r="DC2" s="22"/>
      <c r="DD2" s="22"/>
    </row>
    <row r="3" spans="1:116">
      <c r="A3" s="48" t="s">
        <v>178</v>
      </c>
      <c r="G3" s="34"/>
      <c r="H3" s="10"/>
      <c r="I3" s="10"/>
      <c r="J3" s="6"/>
    </row>
    <row r="4" spans="1:116" ht="67.5">
      <c r="A4" s="6" t="s">
        <v>66</v>
      </c>
      <c r="B4" s="33" t="str">
        <f ca="1">IF(D4&lt;=TODAY(), "Yes", "No")</f>
        <v>Yes</v>
      </c>
      <c r="C4" s="46"/>
      <c r="D4" s="46">
        <v>46024</v>
      </c>
      <c r="E4" s="46">
        <v>46387</v>
      </c>
      <c r="F4" s="6" t="str">
        <f t="shared" ref="F4" ca="1" si="0">IF(E4&lt;=TODAY()-1,"Returned/ Finished","No")</f>
        <v>No</v>
      </c>
      <c r="G4" s="34" t="s">
        <v>167</v>
      </c>
      <c r="H4" s="7">
        <v>1</v>
      </c>
      <c r="I4" s="34" t="s">
        <v>168</v>
      </c>
      <c r="J4" s="34" t="s">
        <v>169</v>
      </c>
      <c r="K4" s="6" t="s">
        <v>170</v>
      </c>
      <c r="L4" s="35" t="s">
        <v>171</v>
      </c>
      <c r="M4" s="34" t="s">
        <v>92</v>
      </c>
      <c r="N4" s="6" t="s">
        <v>138</v>
      </c>
      <c r="O4" s="6" t="s">
        <v>164</v>
      </c>
      <c r="P4" s="6"/>
      <c r="Q4" s="7" t="s">
        <v>165</v>
      </c>
      <c r="R4" s="7" t="s">
        <v>135</v>
      </c>
      <c r="S4" s="7" t="s">
        <v>101</v>
      </c>
      <c r="T4" s="34" t="s">
        <v>95</v>
      </c>
      <c r="U4" s="10">
        <v>25536</v>
      </c>
      <c r="V4" s="7">
        <v>38</v>
      </c>
      <c r="W4" s="10">
        <v>39569</v>
      </c>
      <c r="X4" s="6" t="s">
        <v>140</v>
      </c>
      <c r="Y4" s="6" t="s">
        <v>172</v>
      </c>
      <c r="Z4" s="6" t="s">
        <v>173</v>
      </c>
      <c r="AA4" s="6" t="s">
        <v>174</v>
      </c>
      <c r="AB4" s="10">
        <v>51103</v>
      </c>
      <c r="AC4" s="42">
        <v>43101</v>
      </c>
      <c r="AD4" s="10">
        <v>40787</v>
      </c>
      <c r="AE4" s="7" t="s">
        <v>96</v>
      </c>
      <c r="AF4" s="6"/>
      <c r="AG4" s="41"/>
      <c r="AH4" s="8" t="s">
        <v>136</v>
      </c>
      <c r="AI4" s="6" t="s">
        <v>136</v>
      </c>
      <c r="AJ4" s="6" t="s">
        <v>136</v>
      </c>
      <c r="AK4" s="6" t="s">
        <v>142</v>
      </c>
      <c r="AL4" s="6" t="s">
        <v>166</v>
      </c>
      <c r="AM4" s="36" t="s">
        <v>137</v>
      </c>
      <c r="AN4" s="37">
        <v>7</v>
      </c>
      <c r="AO4" s="36">
        <v>1</v>
      </c>
      <c r="AP4" s="9">
        <v>1664215</v>
      </c>
      <c r="AQ4" s="9">
        <f t="shared" ref="AQ4" si="1">IF(AN4&lt;=5,13200,IF(AN4&lt;=9,17400,IF(AN4&lt;=12,20400,24000)))</f>
        <v>17400</v>
      </c>
      <c r="AR4" s="9">
        <f t="shared" ref="AR4" si="2">40/100*AP4</f>
        <v>665686</v>
      </c>
      <c r="AS4" s="38" t="s">
        <v>175</v>
      </c>
      <c r="AT4" s="39" t="s">
        <v>176</v>
      </c>
      <c r="AU4" s="40" t="s">
        <v>177</v>
      </c>
    </row>
    <row r="5" spans="1:116" ht="22.5">
      <c r="A5" s="6" t="s">
        <v>63</v>
      </c>
      <c r="B5" s="33" t="str">
        <f ca="1">IF(D5&lt;=TODAY(), "Yes", "No")</f>
        <v>Yes</v>
      </c>
      <c r="C5" s="6"/>
      <c r="D5" s="46">
        <v>46174</v>
      </c>
      <c r="E5" s="46">
        <v>46538</v>
      </c>
      <c r="F5" s="6" t="str">
        <f ca="1">IF(E5&lt;=TODAY()-1,"Returned/ Finished","No")</f>
        <v>No</v>
      </c>
      <c r="G5" s="34" t="s">
        <v>153</v>
      </c>
      <c r="H5" s="7">
        <v>2</v>
      </c>
      <c r="I5" s="34" t="s">
        <v>154</v>
      </c>
      <c r="J5" s="34" t="s">
        <v>155</v>
      </c>
      <c r="K5" s="6" t="s">
        <v>156</v>
      </c>
      <c r="L5" s="35" t="s">
        <v>157</v>
      </c>
      <c r="M5" s="34" t="s">
        <v>100</v>
      </c>
      <c r="N5" s="6" t="s">
        <v>158</v>
      </c>
      <c r="O5" s="6" t="s">
        <v>159</v>
      </c>
      <c r="P5" s="6"/>
      <c r="Q5" s="7" t="s">
        <v>139</v>
      </c>
      <c r="R5" s="7" t="s">
        <v>160</v>
      </c>
      <c r="S5" s="7" t="s">
        <v>101</v>
      </c>
      <c r="T5" s="34" t="s">
        <v>95</v>
      </c>
      <c r="U5" s="10">
        <v>21867</v>
      </c>
      <c r="V5" s="7">
        <v>31</v>
      </c>
      <c r="W5" s="10">
        <v>33208</v>
      </c>
      <c r="X5" s="6" t="s">
        <v>140</v>
      </c>
      <c r="Y5" s="6"/>
      <c r="Z5" s="6"/>
      <c r="AA5" s="6"/>
      <c r="AB5" s="42">
        <v>47435</v>
      </c>
      <c r="AC5" s="42">
        <v>36434</v>
      </c>
      <c r="AD5" s="42">
        <v>34304</v>
      </c>
      <c r="AE5" s="7" t="s">
        <v>96</v>
      </c>
      <c r="AF5" s="6"/>
      <c r="AG5" s="7"/>
      <c r="AH5" s="6" t="s">
        <v>136</v>
      </c>
      <c r="AI5" s="6" t="s">
        <v>136</v>
      </c>
      <c r="AJ5" s="6" t="str">
        <f t="shared" ref="AJ5:AJ6" si="3">IF(AI5&gt;="A",AI5,)</f>
        <v>Academic</v>
      </c>
      <c r="AK5" s="6" t="s">
        <v>142</v>
      </c>
      <c r="AL5" s="6" t="s">
        <v>161</v>
      </c>
      <c r="AM5" s="36" t="s">
        <v>137</v>
      </c>
      <c r="AN5" s="36">
        <v>7</v>
      </c>
      <c r="AO5" s="36">
        <v>9</v>
      </c>
      <c r="AP5" s="9">
        <v>2875791</v>
      </c>
      <c r="AQ5" s="9">
        <f>IF(AN5&lt;=5,13200,IF(AN5&lt;=9,17400,IF(AN5&lt;=12,20400,24000)))</f>
        <v>17400</v>
      </c>
      <c r="AR5" s="9">
        <f>40/100*AP5</f>
        <v>1150316.4000000001</v>
      </c>
      <c r="AS5" s="38"/>
      <c r="AT5" s="39" t="s">
        <v>162</v>
      </c>
      <c r="AU5" s="44" t="s">
        <v>163</v>
      </c>
    </row>
    <row r="6" spans="1:116" ht="22.5">
      <c r="A6" s="6" t="s">
        <v>62</v>
      </c>
      <c r="B6" s="33" t="str">
        <f t="shared" ref="B6" ca="1" si="4">IF(D6&lt;=TODAY(), "Yes", "No")</f>
        <v>No</v>
      </c>
      <c r="C6" s="6"/>
      <c r="D6" s="46">
        <v>46259</v>
      </c>
      <c r="E6" s="46">
        <v>46075</v>
      </c>
      <c r="F6" s="6" t="str">
        <f t="shared" ref="F6" ca="1" si="5">IF(E6&lt;=TODAY()-1,"Returned/ Finished","No")</f>
        <v>Returned/ Finished</v>
      </c>
      <c r="G6" s="34" t="s">
        <v>143</v>
      </c>
      <c r="H6" s="7">
        <v>3</v>
      </c>
      <c r="I6" s="34" t="s">
        <v>144</v>
      </c>
      <c r="J6" s="34" t="s">
        <v>145</v>
      </c>
      <c r="K6" s="6" t="s">
        <v>146</v>
      </c>
      <c r="L6" s="35" t="s">
        <v>147</v>
      </c>
      <c r="M6" s="34" t="s">
        <v>105</v>
      </c>
      <c r="N6" s="6" t="s">
        <v>105</v>
      </c>
      <c r="O6" s="6" t="s">
        <v>141</v>
      </c>
      <c r="P6" s="6"/>
      <c r="Q6" s="7" t="s">
        <v>139</v>
      </c>
      <c r="R6" s="7" t="s">
        <v>135</v>
      </c>
      <c r="S6" s="7" t="s">
        <v>94</v>
      </c>
      <c r="T6" s="34" t="s">
        <v>95</v>
      </c>
      <c r="U6" s="10">
        <v>22865</v>
      </c>
      <c r="V6" s="7">
        <v>37</v>
      </c>
      <c r="W6" s="10">
        <v>36231</v>
      </c>
      <c r="X6" s="6" t="s">
        <v>140</v>
      </c>
      <c r="Y6" s="6" t="s">
        <v>148</v>
      </c>
      <c r="Z6" s="6" t="s">
        <v>149</v>
      </c>
      <c r="AA6" s="6"/>
      <c r="AB6" s="10">
        <v>48433</v>
      </c>
      <c r="AC6" s="42">
        <v>44470</v>
      </c>
      <c r="AD6" s="42">
        <v>37327</v>
      </c>
      <c r="AE6" s="7" t="s">
        <v>96</v>
      </c>
      <c r="AF6" s="6"/>
      <c r="AG6" s="7"/>
      <c r="AH6" s="6" t="s">
        <v>136</v>
      </c>
      <c r="AI6" s="6" t="s">
        <v>136</v>
      </c>
      <c r="AJ6" s="6" t="str">
        <f t="shared" si="3"/>
        <v>Academic</v>
      </c>
      <c r="AK6" s="6" t="s">
        <v>142</v>
      </c>
      <c r="AL6" s="6"/>
      <c r="AM6" s="36" t="s">
        <v>137</v>
      </c>
      <c r="AN6" s="36">
        <v>7</v>
      </c>
      <c r="AO6" s="36">
        <v>3</v>
      </c>
      <c r="AP6" s="9">
        <v>325272</v>
      </c>
      <c r="AQ6" s="9">
        <f t="shared" ref="AQ6" si="6">IF(AN6&lt;=5,13200,IF(AN6&lt;=9,17400,IF(AN6&lt;=12,20400,24000)))</f>
        <v>17400</v>
      </c>
      <c r="AR6" s="9">
        <f t="shared" ref="AR6" si="7">40/100*AP6</f>
        <v>130108.8</v>
      </c>
      <c r="AS6" s="38" t="s">
        <v>150</v>
      </c>
      <c r="AT6" s="39" t="s">
        <v>151</v>
      </c>
      <c r="AU6" s="44" t="s">
        <v>152</v>
      </c>
    </row>
    <row r="7" spans="1:116">
      <c r="G7" s="34"/>
      <c r="H7" s="10"/>
      <c r="I7" s="10"/>
      <c r="J7" s="6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4"/>
      <c r="BX7" s="4"/>
      <c r="BY7" s="4"/>
      <c r="BZ7" s="4"/>
      <c r="CA7" s="4"/>
      <c r="CB7" s="4"/>
      <c r="CC7" s="4"/>
      <c r="CD7" s="4"/>
      <c r="CE7" s="4"/>
      <c r="CF7" s="49"/>
      <c r="CG7" s="49"/>
      <c r="CH7" s="49"/>
      <c r="CI7" s="49"/>
      <c r="CJ7" s="11"/>
      <c r="CK7" s="47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34"/>
      <c r="CX7" s="6"/>
      <c r="CY7" s="34"/>
      <c r="CZ7" s="43"/>
      <c r="DA7" s="43"/>
      <c r="DE7" s="4"/>
    </row>
    <row r="8" spans="1:116">
      <c r="G8" s="34"/>
      <c r="H8" s="10"/>
      <c r="I8" s="10"/>
      <c r="J8" s="6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4"/>
      <c r="BX8" s="4"/>
      <c r="BY8" s="4"/>
      <c r="BZ8" s="4"/>
      <c r="CA8" s="4"/>
      <c r="CB8" s="4"/>
      <c r="CC8" s="4"/>
      <c r="CD8" s="4"/>
      <c r="CE8" s="4"/>
      <c r="CF8" s="49"/>
      <c r="CG8" s="49"/>
      <c r="CH8" s="49"/>
      <c r="CI8" s="49"/>
      <c r="CJ8" s="11"/>
      <c r="CK8" s="47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34"/>
      <c r="CX8" s="6"/>
      <c r="CY8" s="34"/>
      <c r="CZ8" s="43"/>
      <c r="DA8" s="43"/>
      <c r="DE8" s="4"/>
    </row>
    <row r="9" spans="1:116">
      <c r="A9" s="48" t="s">
        <v>179</v>
      </c>
      <c r="G9" s="34"/>
      <c r="H9" s="10"/>
      <c r="I9" s="10"/>
      <c r="J9" s="6"/>
    </row>
    <row r="10" spans="1:116" ht="33.75">
      <c r="G10" s="34" t="s">
        <v>123</v>
      </c>
      <c r="H10" s="7">
        <v>1</v>
      </c>
      <c r="I10" s="34" t="s">
        <v>124</v>
      </c>
      <c r="J10" s="34" t="s">
        <v>125</v>
      </c>
      <c r="K10" s="6" t="s">
        <v>126</v>
      </c>
      <c r="L10" s="35" t="s">
        <v>127</v>
      </c>
      <c r="M10" s="34" t="s">
        <v>100</v>
      </c>
      <c r="N10" s="6" t="s">
        <v>128</v>
      </c>
      <c r="O10" s="6" t="s">
        <v>104</v>
      </c>
      <c r="P10" s="6" t="s">
        <v>108</v>
      </c>
      <c r="Q10" s="7" t="s">
        <v>93</v>
      </c>
      <c r="R10" s="7" t="s">
        <v>98</v>
      </c>
      <c r="S10" s="7" t="s">
        <v>101</v>
      </c>
      <c r="T10" s="34" t="s">
        <v>95</v>
      </c>
      <c r="U10" s="10">
        <v>30108</v>
      </c>
      <c r="V10" s="7">
        <v>33</v>
      </c>
      <c r="W10" s="41">
        <v>42006</v>
      </c>
      <c r="X10" s="6" t="s">
        <v>129</v>
      </c>
      <c r="Y10" s="6" t="s">
        <v>130</v>
      </c>
      <c r="Z10" s="6" t="s">
        <v>131</v>
      </c>
      <c r="AA10" s="6"/>
      <c r="AB10" s="10">
        <v>53849</v>
      </c>
      <c r="AC10" s="10">
        <v>45200</v>
      </c>
      <c r="AD10" s="41">
        <v>43102</v>
      </c>
      <c r="AE10" s="7" t="s">
        <v>96</v>
      </c>
      <c r="AF10" s="6"/>
      <c r="AG10" s="7"/>
      <c r="AH10" s="8" t="s">
        <v>99</v>
      </c>
      <c r="AI10" s="6" t="s">
        <v>102</v>
      </c>
      <c r="AJ10" s="6" t="s">
        <v>103</v>
      </c>
      <c r="AK10" s="6" t="s">
        <v>122</v>
      </c>
      <c r="AL10" s="6"/>
      <c r="AM10" s="36" t="s">
        <v>97</v>
      </c>
      <c r="AN10" s="37">
        <v>7</v>
      </c>
      <c r="AO10" s="36">
        <v>1</v>
      </c>
      <c r="AP10" s="9">
        <v>1257460</v>
      </c>
      <c r="AQ10" s="9">
        <v>17400</v>
      </c>
      <c r="AR10" s="9">
        <v>502984</v>
      </c>
      <c r="AS10" s="38" t="s">
        <v>132</v>
      </c>
      <c r="AT10" s="39" t="s">
        <v>133</v>
      </c>
      <c r="AU10" s="44" t="s">
        <v>134</v>
      </c>
    </row>
    <row r="11" spans="1:116" ht="22.5">
      <c r="G11" s="34" t="s">
        <v>109</v>
      </c>
      <c r="H11" s="7">
        <v>2</v>
      </c>
      <c r="I11" s="34" t="s">
        <v>110</v>
      </c>
      <c r="J11" s="34" t="s">
        <v>111</v>
      </c>
      <c r="K11" s="10" t="s">
        <v>112</v>
      </c>
      <c r="L11" s="35" t="s">
        <v>113</v>
      </c>
      <c r="M11" s="34" t="s">
        <v>92</v>
      </c>
      <c r="N11" s="6" t="s">
        <v>114</v>
      </c>
      <c r="O11" s="6" t="s">
        <v>104</v>
      </c>
      <c r="P11" s="6" t="s">
        <v>108</v>
      </c>
      <c r="Q11" s="7" t="s">
        <v>93</v>
      </c>
      <c r="R11" s="7" t="s">
        <v>98</v>
      </c>
      <c r="S11" s="7" t="s">
        <v>101</v>
      </c>
      <c r="T11" s="34" t="s">
        <v>95</v>
      </c>
      <c r="U11" s="10">
        <v>27123</v>
      </c>
      <c r="V11" s="7">
        <v>32</v>
      </c>
      <c r="W11" s="10">
        <v>39028</v>
      </c>
      <c r="X11" s="6" t="s">
        <v>115</v>
      </c>
      <c r="Y11" s="6" t="s">
        <v>116</v>
      </c>
      <c r="Z11" s="6" t="s">
        <v>117</v>
      </c>
      <c r="AA11" s="12"/>
      <c r="AB11" s="10">
        <v>50864</v>
      </c>
      <c r="AC11" s="42">
        <v>45566</v>
      </c>
      <c r="AD11" s="10">
        <v>39759</v>
      </c>
      <c r="AE11" s="7" t="s">
        <v>96</v>
      </c>
      <c r="AF11" s="7"/>
      <c r="AG11" s="7"/>
      <c r="AH11" s="8" t="s">
        <v>99</v>
      </c>
      <c r="AI11" s="8" t="s">
        <v>53</v>
      </c>
      <c r="AJ11" s="8" t="s">
        <v>106</v>
      </c>
      <c r="AK11" s="45" t="s">
        <v>118</v>
      </c>
      <c r="AL11" s="6" t="s">
        <v>107</v>
      </c>
      <c r="AM11" s="36" t="s">
        <v>97</v>
      </c>
      <c r="AN11" s="37">
        <v>8</v>
      </c>
      <c r="AO11" s="36">
        <v>1</v>
      </c>
      <c r="AP11" s="9">
        <v>1460038</v>
      </c>
      <c r="AQ11" s="9">
        <v>17400</v>
      </c>
      <c r="AR11" s="9">
        <v>584015.20000000007</v>
      </c>
      <c r="AS11" s="45" t="s">
        <v>119</v>
      </c>
      <c r="AT11" s="39" t="s">
        <v>120</v>
      </c>
      <c r="AU11" s="44" t="s">
        <v>121</v>
      </c>
    </row>
    <row r="12" spans="1:116">
      <c r="G12" s="34"/>
      <c r="H12" s="10"/>
      <c r="I12" s="10"/>
      <c r="J12" s="6"/>
    </row>
    <row r="13" spans="1:116">
      <c r="G13" s="34"/>
      <c r="H13" s="10"/>
      <c r="I13" s="10"/>
      <c r="J13" s="6"/>
    </row>
    <row r="14" spans="1:116">
      <c r="G14" s="34"/>
      <c r="H14" s="10"/>
      <c r="I14" s="10"/>
      <c r="J14" s="6"/>
    </row>
    <row r="15" spans="1:116">
      <c r="G15" s="34"/>
      <c r="H15" s="10"/>
      <c r="I15" s="10"/>
      <c r="J15" s="6"/>
    </row>
    <row r="16" spans="1:116">
      <c r="G16" s="34"/>
      <c r="H16" s="10"/>
      <c r="I16" s="10"/>
      <c r="J16" s="6"/>
    </row>
    <row r="17" spans="7:117" s="5" customFormat="1">
      <c r="G17" s="34"/>
      <c r="H17" s="10"/>
      <c r="I17" s="10"/>
      <c r="J17" s="6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s="1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W17"/>
      <c r="BX17"/>
      <c r="BY17"/>
      <c r="BZ17"/>
      <c r="CA17"/>
      <c r="CB17"/>
      <c r="CC17"/>
      <c r="CD17"/>
      <c r="CE17" s="2"/>
      <c r="CF17" s="2"/>
      <c r="CG17" s="2"/>
      <c r="CH17" s="2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 s="3"/>
      <c r="DK17"/>
      <c r="DL17"/>
      <c r="DM17"/>
    </row>
    <row r="18" spans="7:117" s="5" customFormat="1">
      <c r="G18" s="34"/>
      <c r="H18" s="10"/>
      <c r="I18" s="10"/>
      <c r="J18" s="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s="1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W18"/>
      <c r="BX18"/>
      <c r="BY18"/>
      <c r="BZ18"/>
      <c r="CA18"/>
      <c r="CB18"/>
      <c r="CC18"/>
      <c r="CD18"/>
      <c r="CE18" s="2"/>
      <c r="CF18" s="2"/>
      <c r="CG18" s="2"/>
      <c r="CH18" s="2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 s="3"/>
      <c r="DK18"/>
      <c r="DL18"/>
      <c r="DM18"/>
    </row>
    <row r="19" spans="7:117" s="5" customFormat="1">
      <c r="G19" s="34"/>
      <c r="H19" s="10"/>
      <c r="I19" s="10"/>
      <c r="J19" s="6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s="1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W19"/>
      <c r="BX19"/>
      <c r="BY19"/>
      <c r="BZ19"/>
      <c r="CA19"/>
      <c r="CB19"/>
      <c r="CC19"/>
      <c r="CD19"/>
      <c r="CE19" s="2"/>
      <c r="CF19" s="2"/>
      <c r="CG19" s="2"/>
      <c r="CH19" s="2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 s="3"/>
      <c r="DK19"/>
      <c r="DL19"/>
      <c r="DM19"/>
    </row>
    <row r="20" spans="7:117" s="5" customFormat="1">
      <c r="G20" s="34"/>
      <c r="H20" s="10"/>
      <c r="I20" s="10"/>
      <c r="J20" s="6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s="1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W20"/>
      <c r="BX20"/>
      <c r="BY20"/>
      <c r="BZ20"/>
      <c r="CA20"/>
      <c r="CB20"/>
      <c r="CC20"/>
      <c r="CD20"/>
      <c r="CE20" s="2"/>
      <c r="CF20" s="2"/>
      <c r="CG20" s="2"/>
      <c r="CH20" s="2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 s="3"/>
      <c r="DK20"/>
      <c r="DL20"/>
      <c r="DM20"/>
    </row>
    <row r="21" spans="7:117" s="5" customFormat="1">
      <c r="G21" s="34"/>
      <c r="H21" s="10"/>
      <c r="I21" s="10"/>
      <c r="J21" s="6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s="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W21"/>
      <c r="BX21"/>
      <c r="BY21"/>
      <c r="BZ21"/>
      <c r="CA21"/>
      <c r="CB21"/>
      <c r="CC21"/>
      <c r="CD21"/>
      <c r="CE21" s="2"/>
      <c r="CF21" s="2"/>
      <c r="CG21" s="2"/>
      <c r="CH21" s="2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 s="3"/>
      <c r="DK21"/>
      <c r="DL21"/>
      <c r="DM21"/>
    </row>
    <row r="22" spans="7:117" s="5" customFormat="1">
      <c r="G22" s="34"/>
      <c r="H22" s="10"/>
      <c r="I22" s="10"/>
      <c r="J22" s="6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s="1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W22"/>
      <c r="BX22"/>
      <c r="BY22"/>
      <c r="BZ22"/>
      <c r="CA22"/>
      <c r="CB22"/>
      <c r="CC22"/>
      <c r="CD22"/>
      <c r="CE22" s="2"/>
      <c r="CF22" s="2"/>
      <c r="CG22" s="2"/>
      <c r="CH22" s="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 s="3"/>
      <c r="DK22"/>
      <c r="DL22"/>
      <c r="DM22"/>
    </row>
    <row r="23" spans="7:117" s="5" customFormat="1">
      <c r="G23" s="34"/>
      <c r="H23" s="10"/>
      <c r="I23" s="10"/>
      <c r="J23" s="6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W23"/>
      <c r="BX23"/>
      <c r="BY23"/>
      <c r="BZ23"/>
      <c r="CA23"/>
      <c r="CB23"/>
      <c r="CC23"/>
      <c r="CD23"/>
      <c r="CE23" s="2"/>
      <c r="CF23" s="2"/>
      <c r="CG23" s="2"/>
      <c r="CH23" s="2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 s="3"/>
      <c r="DK23"/>
      <c r="DL23"/>
      <c r="DM23"/>
    </row>
    <row r="24" spans="7:117" s="5" customFormat="1">
      <c r="G24" s="34"/>
      <c r="H24" s="10"/>
      <c r="I24" s="10"/>
      <c r="J24" s="6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s="1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W24"/>
      <c r="BX24"/>
      <c r="BY24"/>
      <c r="BZ24"/>
      <c r="CA24"/>
      <c r="CB24"/>
      <c r="CC24"/>
      <c r="CD24"/>
      <c r="CE24" s="2"/>
      <c r="CF24" s="2"/>
      <c r="CG24" s="2"/>
      <c r="CH24" s="2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 s="3"/>
      <c r="DK24"/>
      <c r="DL24"/>
      <c r="DM24"/>
    </row>
    <row r="25" spans="7:117" s="5" customFormat="1">
      <c r="G25" s="34"/>
      <c r="H25" s="10"/>
      <c r="I25" s="10"/>
      <c r="J25" s="6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W25"/>
      <c r="BX25"/>
      <c r="BY25"/>
      <c r="BZ25"/>
      <c r="CA25"/>
      <c r="CB25"/>
      <c r="CC25"/>
      <c r="CD25"/>
      <c r="CE25" s="2"/>
      <c r="CF25" s="2"/>
      <c r="CG25" s="2"/>
      <c r="CH25" s="2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 s="3"/>
      <c r="DK25"/>
      <c r="DL25"/>
      <c r="DM25"/>
    </row>
    <row r="26" spans="7:117" s="5" customFormat="1">
      <c r="G26" s="34"/>
      <c r="H26" s="10"/>
      <c r="I26" s="10"/>
      <c r="J26" s="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W26"/>
      <c r="BX26"/>
      <c r="BY26"/>
      <c r="BZ26"/>
      <c r="CA26"/>
      <c r="CB26"/>
      <c r="CC26"/>
      <c r="CD26"/>
      <c r="CE26" s="2"/>
      <c r="CF26" s="2"/>
      <c r="CG26" s="2"/>
      <c r="CH26" s="2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 s="3"/>
      <c r="DK26"/>
      <c r="DL26"/>
      <c r="DM26"/>
    </row>
    <row r="27" spans="7:117" s="5" customFormat="1">
      <c r="G27" s="34"/>
      <c r="H27" s="10"/>
      <c r="I27" s="10"/>
      <c r="J27" s="6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s="1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W27"/>
      <c r="BX27"/>
      <c r="BY27"/>
      <c r="BZ27"/>
      <c r="CA27"/>
      <c r="CB27"/>
      <c r="CC27"/>
      <c r="CD27"/>
      <c r="CE27" s="2"/>
      <c r="CF27" s="2"/>
      <c r="CG27" s="2"/>
      <c r="CH27" s="2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 s="3"/>
      <c r="DK27"/>
      <c r="DL27"/>
      <c r="DM27"/>
    </row>
    <row r="28" spans="7:117" s="5" customFormat="1">
      <c r="G28" s="34"/>
      <c r="H28" s="10"/>
      <c r="I28" s="10"/>
      <c r="J28" s="6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s="1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W28"/>
      <c r="BX28"/>
      <c r="BY28"/>
      <c r="BZ28"/>
      <c r="CA28"/>
      <c r="CB28"/>
      <c r="CC28"/>
      <c r="CD28"/>
      <c r="CE28" s="2"/>
      <c r="CF28" s="2"/>
      <c r="CG28" s="2"/>
      <c r="CH28" s="2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 s="3"/>
      <c r="DK28"/>
      <c r="DL28"/>
      <c r="DM28"/>
    </row>
    <row r="29" spans="7:117" s="5" customFormat="1">
      <c r="G29" s="34"/>
      <c r="H29" s="10"/>
      <c r="I29" s="10"/>
      <c r="J29" s="6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s="1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W29"/>
      <c r="BX29"/>
      <c r="BY29"/>
      <c r="BZ29"/>
      <c r="CA29"/>
      <c r="CB29"/>
      <c r="CC29"/>
      <c r="CD29"/>
      <c r="CE29" s="2"/>
      <c r="CF29" s="2"/>
      <c r="CG29" s="2"/>
      <c r="CH29" s="2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 s="3"/>
      <c r="DK29"/>
      <c r="DL29"/>
      <c r="DM29"/>
    </row>
    <row r="30" spans="7:117" s="5" customFormat="1">
      <c r="G30" s="34"/>
      <c r="H30" s="10"/>
      <c r="I30" s="10"/>
      <c r="J30" s="6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s="1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W30"/>
      <c r="BX30"/>
      <c r="BY30"/>
      <c r="BZ30"/>
      <c r="CA30"/>
      <c r="CB30"/>
      <c r="CC30"/>
      <c r="CD30"/>
      <c r="CE30" s="2"/>
      <c r="CF30" s="2"/>
      <c r="CG30" s="2"/>
      <c r="CH30" s="2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 s="3"/>
      <c r="DK30"/>
      <c r="DL30"/>
      <c r="DM30"/>
    </row>
    <row r="31" spans="7:117" s="5" customFormat="1">
      <c r="G31" s="34"/>
      <c r="H31" s="10"/>
      <c r="I31" s="10"/>
      <c r="J31" s="6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s="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W31"/>
      <c r="BX31"/>
      <c r="BY31"/>
      <c r="BZ31"/>
      <c r="CA31"/>
      <c r="CB31"/>
      <c r="CC31"/>
      <c r="CD31"/>
      <c r="CE31" s="2"/>
      <c r="CF31" s="2"/>
      <c r="CG31" s="2"/>
      <c r="CH31" s="2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 s="3"/>
      <c r="DK31"/>
      <c r="DL31"/>
      <c r="DM31"/>
    </row>
    <row r="32" spans="7:117" s="5" customFormat="1">
      <c r="G32" s="34"/>
      <c r="H32" s="10"/>
      <c r="I32" s="10"/>
      <c r="J32" s="6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s="1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W32"/>
      <c r="BX32"/>
      <c r="BY32"/>
      <c r="BZ32"/>
      <c r="CA32"/>
      <c r="CB32"/>
      <c r="CC32"/>
      <c r="CD32"/>
      <c r="CE32" s="2"/>
      <c r="CF32" s="2"/>
      <c r="CG32" s="2"/>
      <c r="CH32" s="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 s="3"/>
      <c r="DK32"/>
      <c r="DL32"/>
      <c r="DM32"/>
    </row>
    <row r="33" spans="7:117" s="5" customFormat="1">
      <c r="G33" s="34"/>
      <c r="H33" s="10"/>
      <c r="I33" s="10"/>
      <c r="J33" s="6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s="1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W33"/>
      <c r="BX33"/>
      <c r="BY33"/>
      <c r="BZ33"/>
      <c r="CA33"/>
      <c r="CB33"/>
      <c r="CC33"/>
      <c r="CD33"/>
      <c r="CE33" s="2"/>
      <c r="CF33" s="2"/>
      <c r="CG33" s="2"/>
      <c r="CH33" s="2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 s="3"/>
      <c r="DK33"/>
      <c r="DL33"/>
      <c r="DM33"/>
    </row>
    <row r="34" spans="7:117" s="5" customFormat="1">
      <c r="G34" s="34"/>
      <c r="H34" s="10"/>
      <c r="I34" s="10"/>
      <c r="J34" s="6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s="1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W34"/>
      <c r="BX34"/>
      <c r="BY34"/>
      <c r="BZ34"/>
      <c r="CA34"/>
      <c r="CB34"/>
      <c r="CC34"/>
      <c r="CD34"/>
      <c r="CE34" s="2"/>
      <c r="CF34" s="2"/>
      <c r="CG34" s="2"/>
      <c r="CH34" s="2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 s="3"/>
      <c r="DK34"/>
      <c r="DL34"/>
      <c r="DM34"/>
    </row>
    <row r="35" spans="7:117" s="5" customFormat="1">
      <c r="G35" s="34"/>
      <c r="H35" s="10"/>
      <c r="I35" s="10"/>
      <c r="J35" s="6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s="1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W35"/>
      <c r="BX35"/>
      <c r="BY35"/>
      <c r="BZ35"/>
      <c r="CA35"/>
      <c r="CB35"/>
      <c r="CC35"/>
      <c r="CD35"/>
      <c r="CE35" s="2"/>
      <c r="CF35" s="2"/>
      <c r="CG35" s="2"/>
      <c r="CH35" s="2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 s="3"/>
      <c r="DK35"/>
      <c r="DL35"/>
      <c r="DM35"/>
    </row>
    <row r="36" spans="7:117" s="5" customFormat="1">
      <c r="G36" s="34"/>
      <c r="H36" s="10"/>
      <c r="I36" s="10"/>
      <c r="J36" s="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s="1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W36"/>
      <c r="BX36"/>
      <c r="BY36"/>
      <c r="BZ36"/>
      <c r="CA36"/>
      <c r="CB36"/>
      <c r="CC36"/>
      <c r="CD36"/>
      <c r="CE36" s="2"/>
      <c r="CF36" s="2"/>
      <c r="CG36" s="2"/>
      <c r="CH36" s="2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 s="3"/>
      <c r="DK36"/>
      <c r="DL36"/>
      <c r="DM36"/>
    </row>
    <row r="37" spans="7:117" s="5" customFormat="1">
      <c r="G37" s="34"/>
      <c r="H37" s="10"/>
      <c r="I37" s="10"/>
      <c r="J37" s="6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s="1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W37"/>
      <c r="BX37"/>
      <c r="BY37"/>
      <c r="BZ37"/>
      <c r="CA37"/>
      <c r="CB37"/>
      <c r="CC37"/>
      <c r="CD37"/>
      <c r="CE37" s="2"/>
      <c r="CF37" s="2"/>
      <c r="CG37" s="2"/>
      <c r="CH37" s="2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 s="3"/>
      <c r="DK37"/>
      <c r="DL37"/>
      <c r="DM37"/>
    </row>
    <row r="38" spans="7:117" s="5" customFormat="1">
      <c r="G38" s="34"/>
      <c r="H38" s="10"/>
      <c r="I38" s="10"/>
      <c r="J38" s="6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s="1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W38"/>
      <c r="BX38"/>
      <c r="BY38"/>
      <c r="BZ38"/>
      <c r="CA38"/>
      <c r="CB38"/>
      <c r="CC38"/>
      <c r="CD38"/>
      <c r="CE38" s="2"/>
      <c r="CF38" s="2"/>
      <c r="CG38" s="2"/>
      <c r="CH38" s="2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 s="3"/>
      <c r="DK38"/>
      <c r="DL38"/>
      <c r="DM38"/>
    </row>
    <row r="39" spans="7:117" s="5" customFormat="1">
      <c r="G39" s="34"/>
      <c r="H39" s="10"/>
      <c r="I39" s="10"/>
      <c r="J39" s="6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s="1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W39"/>
      <c r="BX39"/>
      <c r="BY39"/>
      <c r="BZ39"/>
      <c r="CA39"/>
      <c r="CB39"/>
      <c r="CC39"/>
      <c r="CD39"/>
      <c r="CE39" s="2"/>
      <c r="CF39" s="2"/>
      <c r="CG39" s="2"/>
      <c r="CH39" s="2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 s="3"/>
      <c r="DK39"/>
      <c r="DL39"/>
      <c r="DM39"/>
    </row>
    <row r="40" spans="7:117" s="5" customFormat="1">
      <c r="G40" s="34"/>
      <c r="H40" s="10"/>
      <c r="I40" s="10"/>
      <c r="J40" s="6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s="1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W40"/>
      <c r="BX40"/>
      <c r="BY40"/>
      <c r="BZ40"/>
      <c r="CA40"/>
      <c r="CB40"/>
      <c r="CC40"/>
      <c r="CD40"/>
      <c r="CE40" s="2"/>
      <c r="CF40" s="2"/>
      <c r="CG40" s="2"/>
      <c r="CH40" s="2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 s="3"/>
      <c r="DK40"/>
      <c r="DL40"/>
      <c r="DM40"/>
    </row>
    <row r="41" spans="7:117" s="5" customFormat="1">
      <c r="G41" s="34"/>
      <c r="H41" s="10"/>
      <c r="I41" s="10"/>
      <c r="J41" s="6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s="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W41"/>
      <c r="BX41"/>
      <c r="BY41"/>
      <c r="BZ41"/>
      <c r="CA41"/>
      <c r="CB41"/>
      <c r="CC41"/>
      <c r="CD41"/>
      <c r="CE41" s="2"/>
      <c r="CF41" s="2"/>
      <c r="CG41" s="2"/>
      <c r="CH41" s="2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 s="3"/>
      <c r="DK41"/>
      <c r="DL41"/>
      <c r="DM41"/>
    </row>
    <row r="42" spans="7:117" s="5" customFormat="1">
      <c r="G42" s="34"/>
      <c r="H42" s="10"/>
      <c r="I42" s="10"/>
      <c r="J42" s="6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s="1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W42"/>
      <c r="BX42"/>
      <c r="BY42"/>
      <c r="BZ42"/>
      <c r="CA42"/>
      <c r="CB42"/>
      <c r="CC42"/>
      <c r="CD42"/>
      <c r="CE42" s="2"/>
      <c r="CF42" s="2"/>
      <c r="CG42" s="2"/>
      <c r="CH42" s="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 s="3"/>
      <c r="DK42"/>
      <c r="DL42"/>
      <c r="DM42"/>
    </row>
    <row r="43" spans="7:117" s="5" customFormat="1">
      <c r="G43" s="34"/>
      <c r="H43" s="10"/>
      <c r="I43" s="10"/>
      <c r="J43" s="6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s="1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W43"/>
      <c r="BX43"/>
      <c r="BY43"/>
      <c r="BZ43"/>
      <c r="CA43"/>
      <c r="CB43"/>
      <c r="CC43"/>
      <c r="CD43"/>
      <c r="CE43" s="2"/>
      <c r="CF43" s="2"/>
      <c r="CG43" s="2"/>
      <c r="CH43" s="2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 s="3"/>
      <c r="DK43"/>
      <c r="DL43"/>
      <c r="DM43"/>
    </row>
    <row r="44" spans="7:117" s="5" customFormat="1">
      <c r="G44" s="34"/>
      <c r="H44" s="10"/>
      <c r="I44" s="10"/>
      <c r="J44" s="6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s="1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W44"/>
      <c r="BX44"/>
      <c r="BY44"/>
      <c r="BZ44"/>
      <c r="CA44"/>
      <c r="CB44"/>
      <c r="CC44"/>
      <c r="CD44"/>
      <c r="CE44" s="2"/>
      <c r="CF44" s="2"/>
      <c r="CG44" s="2"/>
      <c r="CH44" s="2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 s="3"/>
      <c r="DK44"/>
      <c r="DL44"/>
      <c r="DM44"/>
    </row>
    <row r="45" spans="7:117" s="5" customFormat="1">
      <c r="G45" s="34"/>
      <c r="H45" s="10"/>
      <c r="I45" s="10"/>
      <c r="J45" s="6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s="1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W45"/>
      <c r="BX45"/>
      <c r="BY45"/>
      <c r="BZ45"/>
      <c r="CA45"/>
      <c r="CB45"/>
      <c r="CC45"/>
      <c r="CD45"/>
      <c r="CE45" s="2"/>
      <c r="CF45" s="2"/>
      <c r="CG45" s="2"/>
      <c r="CH45" s="2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 s="3"/>
      <c r="DK45"/>
      <c r="DL45"/>
      <c r="DM45"/>
    </row>
    <row r="46" spans="7:117" s="5" customFormat="1">
      <c r="G46" s="34"/>
      <c r="H46" s="10"/>
      <c r="I46" s="10"/>
      <c r="J46" s="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s="1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W46"/>
      <c r="BX46"/>
      <c r="BY46"/>
      <c r="BZ46"/>
      <c r="CA46"/>
      <c r="CB46"/>
      <c r="CC46"/>
      <c r="CD46"/>
      <c r="CE46" s="2"/>
      <c r="CF46" s="2"/>
      <c r="CG46" s="2"/>
      <c r="CH46" s="2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 s="3"/>
      <c r="DK46"/>
      <c r="DL46"/>
      <c r="DM46"/>
    </row>
    <row r="47" spans="7:117" s="5" customFormat="1">
      <c r="G47" s="34"/>
      <c r="H47" s="10"/>
      <c r="I47" s="10"/>
      <c r="J47" s="6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s="1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W47"/>
      <c r="BX47"/>
      <c r="BY47"/>
      <c r="BZ47"/>
      <c r="CA47"/>
      <c r="CB47"/>
      <c r="CC47"/>
      <c r="CD47"/>
      <c r="CE47" s="2"/>
      <c r="CF47" s="2"/>
      <c r="CG47" s="2"/>
      <c r="CH47" s="2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 s="3"/>
      <c r="DK47"/>
      <c r="DL47"/>
      <c r="DM47"/>
    </row>
    <row r="48" spans="7:117" s="5" customFormat="1">
      <c r="G48" s="34"/>
      <c r="H48" s="10"/>
      <c r="I48" s="10"/>
      <c r="J48" s="6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s="1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W48"/>
      <c r="BX48"/>
      <c r="BY48"/>
      <c r="BZ48"/>
      <c r="CA48"/>
      <c r="CB48"/>
      <c r="CC48"/>
      <c r="CD48"/>
      <c r="CE48" s="2"/>
      <c r="CF48" s="2"/>
      <c r="CG48" s="2"/>
      <c r="CH48" s="2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 s="3"/>
      <c r="DK48"/>
      <c r="DL48"/>
      <c r="DM48"/>
    </row>
    <row r="49" spans="7:117" s="5" customFormat="1">
      <c r="G49" s="34"/>
      <c r="H49" s="10"/>
      <c r="I49" s="10"/>
      <c r="J49" s="6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s="1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W49"/>
      <c r="BX49"/>
      <c r="BY49"/>
      <c r="BZ49"/>
      <c r="CA49"/>
      <c r="CB49"/>
      <c r="CC49"/>
      <c r="CD49"/>
      <c r="CE49" s="2"/>
      <c r="CF49" s="2"/>
      <c r="CG49" s="2"/>
      <c r="CH49" s="2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 s="3"/>
      <c r="DK49"/>
      <c r="DL49"/>
      <c r="DM49"/>
    </row>
    <row r="50" spans="7:117" s="5" customFormat="1">
      <c r="G50" s="34"/>
      <c r="H50" s="10"/>
      <c r="I50" s="10"/>
      <c r="J50" s="6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s="1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W50"/>
      <c r="BX50"/>
      <c r="BY50"/>
      <c r="BZ50"/>
      <c r="CA50"/>
      <c r="CB50"/>
      <c r="CC50"/>
      <c r="CD50"/>
      <c r="CE50" s="2"/>
      <c r="CF50" s="2"/>
      <c r="CG50" s="2"/>
      <c r="CH50" s="2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 s="3"/>
      <c r="DK50"/>
      <c r="DL50"/>
      <c r="DM50"/>
    </row>
    <row r="51" spans="7:117" s="5" customFormat="1">
      <c r="G51" s="34"/>
      <c r="H51" s="10"/>
      <c r="I51" s="10"/>
      <c r="J51" s="6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s="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W51"/>
      <c r="BX51"/>
      <c r="BY51"/>
      <c r="BZ51"/>
      <c r="CA51"/>
      <c r="CB51"/>
      <c r="CC51"/>
      <c r="CD51"/>
      <c r="CE51" s="2"/>
      <c r="CF51" s="2"/>
      <c r="CG51" s="2"/>
      <c r="CH51" s="2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 s="3"/>
      <c r="DK51"/>
      <c r="DL51"/>
      <c r="DM51"/>
    </row>
    <row r="52" spans="7:117" s="5" customFormat="1">
      <c r="G52" s="34"/>
      <c r="H52" s="10"/>
      <c r="I52" s="10"/>
      <c r="J52" s="6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s="1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W52"/>
      <c r="BX52"/>
      <c r="BY52"/>
      <c r="BZ52"/>
      <c r="CA52"/>
      <c r="CB52"/>
      <c r="CC52"/>
      <c r="CD52"/>
      <c r="CE52" s="2"/>
      <c r="CF52" s="2"/>
      <c r="CG52" s="2"/>
      <c r="CH52" s="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 s="3"/>
      <c r="DK52"/>
      <c r="DL52"/>
      <c r="DM52"/>
    </row>
    <row r="53" spans="7:117" s="5" customFormat="1">
      <c r="G53" s="34"/>
      <c r="H53" s="10"/>
      <c r="I53" s="10"/>
      <c r="J53" s="6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s="1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W53"/>
      <c r="BX53"/>
      <c r="BY53"/>
      <c r="BZ53"/>
      <c r="CA53"/>
      <c r="CB53"/>
      <c r="CC53"/>
      <c r="CD53"/>
      <c r="CE53" s="2"/>
      <c r="CF53" s="2"/>
      <c r="CG53" s="2"/>
      <c r="CH53" s="2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 s="3"/>
      <c r="DK53"/>
      <c r="DL53"/>
      <c r="DM53"/>
    </row>
    <row r="54" spans="7:117" s="5" customFormat="1">
      <c r="G54" s="34"/>
      <c r="H54" s="10"/>
      <c r="I54" s="10"/>
      <c r="J54" s="6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s="1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W54"/>
      <c r="BX54"/>
      <c r="BY54"/>
      <c r="BZ54"/>
      <c r="CA54"/>
      <c r="CB54"/>
      <c r="CC54"/>
      <c r="CD54"/>
      <c r="CE54" s="2"/>
      <c r="CF54" s="2"/>
      <c r="CG54" s="2"/>
      <c r="CH54" s="2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 s="3"/>
      <c r="DK54"/>
      <c r="DL54"/>
      <c r="DM54"/>
    </row>
    <row r="55" spans="7:117" s="5" customFormat="1">
      <c r="G55" s="34"/>
      <c r="H55" s="10"/>
      <c r="I55" s="10"/>
      <c r="J55" s="6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s="1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W55"/>
      <c r="BX55"/>
      <c r="BY55"/>
      <c r="BZ55"/>
      <c r="CA55"/>
      <c r="CB55"/>
      <c r="CC55"/>
      <c r="CD55"/>
      <c r="CE55" s="2"/>
      <c r="CF55" s="2"/>
      <c r="CG55" s="2"/>
      <c r="CH55" s="2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 s="3"/>
      <c r="DK55"/>
      <c r="DL55"/>
      <c r="DM55"/>
    </row>
    <row r="56" spans="7:117" s="5" customFormat="1">
      <c r="G56" s="34"/>
      <c r="H56" s="10"/>
      <c r="I56" s="10"/>
      <c r="J56" s="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s="1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W56"/>
      <c r="BX56"/>
      <c r="BY56"/>
      <c r="BZ56"/>
      <c r="CA56"/>
      <c r="CB56"/>
      <c r="CC56"/>
      <c r="CD56"/>
      <c r="CE56" s="2"/>
      <c r="CF56" s="2"/>
      <c r="CG56" s="2"/>
      <c r="CH56" s="2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 s="3"/>
      <c r="DK56"/>
      <c r="DL56"/>
      <c r="DM56"/>
    </row>
    <row r="57" spans="7:117" s="5" customFormat="1">
      <c r="G57" s="34"/>
      <c r="H57" s="10"/>
      <c r="I57" s="10"/>
      <c r="J57" s="6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s="1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W57"/>
      <c r="BX57"/>
      <c r="BY57"/>
      <c r="BZ57"/>
      <c r="CA57"/>
      <c r="CB57"/>
      <c r="CC57"/>
      <c r="CD57"/>
      <c r="CE57" s="2"/>
      <c r="CF57" s="2"/>
      <c r="CG57" s="2"/>
      <c r="CH57" s="2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 s="3"/>
      <c r="DK57"/>
      <c r="DL57"/>
      <c r="DM57"/>
    </row>
    <row r="58" spans="7:117" s="5" customFormat="1">
      <c r="G58" s="34"/>
      <c r="H58" s="10"/>
      <c r="I58" s="10"/>
      <c r="J58" s="6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s="1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W58"/>
      <c r="BX58"/>
      <c r="BY58"/>
      <c r="BZ58"/>
      <c r="CA58"/>
      <c r="CB58"/>
      <c r="CC58"/>
      <c r="CD58"/>
      <c r="CE58" s="2"/>
      <c r="CF58" s="2"/>
      <c r="CG58" s="2"/>
      <c r="CH58" s="2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 s="3"/>
      <c r="DK58"/>
      <c r="DL58"/>
      <c r="DM58"/>
    </row>
    <row r="59" spans="7:117" s="5" customFormat="1">
      <c r="G59" s="34"/>
      <c r="H59" s="10"/>
      <c r="I59" s="10"/>
      <c r="J59" s="6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s="1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W59"/>
      <c r="BX59"/>
      <c r="BY59"/>
      <c r="BZ59"/>
      <c r="CA59"/>
      <c r="CB59"/>
      <c r="CC59"/>
      <c r="CD59"/>
      <c r="CE59" s="2"/>
      <c r="CF59" s="2"/>
      <c r="CG59" s="2"/>
      <c r="CH59" s="2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 s="3"/>
      <c r="DK59"/>
      <c r="DL59"/>
      <c r="DM59"/>
    </row>
    <row r="60" spans="7:117" s="5" customFormat="1">
      <c r="G60" s="34"/>
      <c r="H60" s="10"/>
      <c r="I60" s="10"/>
      <c r="J60" s="6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s="1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W60"/>
      <c r="BX60"/>
      <c r="BY60"/>
      <c r="BZ60"/>
      <c r="CA60"/>
      <c r="CB60"/>
      <c r="CC60"/>
      <c r="CD60"/>
      <c r="CE60" s="2"/>
      <c r="CF60" s="2"/>
      <c r="CG60" s="2"/>
      <c r="CH60" s="2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 s="3"/>
      <c r="DK60"/>
      <c r="DL60"/>
      <c r="DM60"/>
    </row>
    <row r="61" spans="7:117" s="5" customFormat="1">
      <c r="G61" s="34"/>
      <c r="H61" s="10"/>
      <c r="I61" s="10"/>
      <c r="J61" s="6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s="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W61"/>
      <c r="BX61"/>
      <c r="BY61"/>
      <c r="BZ61"/>
      <c r="CA61"/>
      <c r="CB61"/>
      <c r="CC61"/>
      <c r="CD61"/>
      <c r="CE61" s="2"/>
      <c r="CF61" s="2"/>
      <c r="CG61" s="2"/>
      <c r="CH61" s="2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 s="3"/>
      <c r="DK61"/>
      <c r="DL61"/>
      <c r="DM61"/>
    </row>
    <row r="62" spans="7:117" s="5" customFormat="1">
      <c r="G62" s="34"/>
      <c r="H62" s="10"/>
      <c r="I62" s="10"/>
      <c r="J62" s="6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s="1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W62"/>
      <c r="BX62"/>
      <c r="BY62"/>
      <c r="BZ62"/>
      <c r="CA62"/>
      <c r="CB62"/>
      <c r="CC62"/>
      <c r="CD62"/>
      <c r="CE62" s="2"/>
      <c r="CF62" s="2"/>
      <c r="CG62" s="2"/>
      <c r="CH62" s="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 s="3"/>
      <c r="DK62"/>
      <c r="DL62"/>
      <c r="DM62"/>
    </row>
    <row r="63" spans="7:117" s="5" customFormat="1">
      <c r="G63" s="34"/>
      <c r="H63" s="10"/>
      <c r="I63" s="10"/>
      <c r="J63" s="6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s="1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W63"/>
      <c r="BX63"/>
      <c r="BY63"/>
      <c r="BZ63"/>
      <c r="CA63"/>
      <c r="CB63"/>
      <c r="CC63"/>
      <c r="CD63"/>
      <c r="CE63" s="2"/>
      <c r="CF63" s="2"/>
      <c r="CG63" s="2"/>
      <c r="CH63" s="2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 s="3"/>
      <c r="DK63"/>
      <c r="DL63"/>
      <c r="DM63"/>
    </row>
    <row r="64" spans="7:117" s="5" customFormat="1">
      <c r="G64" s="34"/>
      <c r="H64" s="10"/>
      <c r="I64" s="10"/>
      <c r="J64" s="6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s="1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W64"/>
      <c r="BX64"/>
      <c r="BY64"/>
      <c r="BZ64"/>
      <c r="CA64"/>
      <c r="CB64"/>
      <c r="CC64"/>
      <c r="CD64"/>
      <c r="CE64" s="2"/>
      <c r="CF64" s="2"/>
      <c r="CG64" s="2"/>
      <c r="CH64" s="2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 s="3"/>
      <c r="DK64"/>
      <c r="DL64"/>
      <c r="DM64"/>
    </row>
    <row r="65" spans="7:117" s="5" customFormat="1">
      <c r="G65" s="34"/>
      <c r="H65" s="10"/>
      <c r="I65" s="10"/>
      <c r="J65" s="6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s="1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W65"/>
      <c r="BX65"/>
      <c r="BY65"/>
      <c r="BZ65"/>
      <c r="CA65"/>
      <c r="CB65"/>
      <c r="CC65"/>
      <c r="CD65"/>
      <c r="CE65" s="2"/>
      <c r="CF65" s="2"/>
      <c r="CG65" s="2"/>
      <c r="CH65" s="2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 s="3"/>
      <c r="DK65"/>
      <c r="DL65"/>
      <c r="DM65"/>
    </row>
    <row r="66" spans="7:117" s="5" customFormat="1">
      <c r="G66" s="34"/>
      <c r="H66" s="10"/>
      <c r="I66" s="10"/>
      <c r="J66" s="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s="1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W66"/>
      <c r="BX66"/>
      <c r="BY66"/>
      <c r="BZ66"/>
      <c r="CA66"/>
      <c r="CB66"/>
      <c r="CC66"/>
      <c r="CD66"/>
      <c r="CE66" s="2"/>
      <c r="CF66" s="2"/>
      <c r="CG66" s="2"/>
      <c r="CH66" s="2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 s="3"/>
      <c r="DK66"/>
      <c r="DL66"/>
      <c r="DM66"/>
    </row>
    <row r="67" spans="7:117" s="5" customFormat="1">
      <c r="G67" s="34"/>
      <c r="H67" s="10"/>
      <c r="I67" s="10"/>
      <c r="J67" s="6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s="1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W67"/>
      <c r="BX67"/>
      <c r="BY67"/>
      <c r="BZ67"/>
      <c r="CA67"/>
      <c r="CB67"/>
      <c r="CC67"/>
      <c r="CD67"/>
      <c r="CE67" s="2"/>
      <c r="CF67" s="2"/>
      <c r="CG67" s="2"/>
      <c r="CH67" s="2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 s="3"/>
      <c r="DK67"/>
      <c r="DL67"/>
      <c r="DM67"/>
    </row>
    <row r="68" spans="7:117" s="5" customFormat="1">
      <c r="G68" s="34"/>
      <c r="H68" s="10"/>
      <c r="I68" s="10"/>
      <c r="J68" s="6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s="1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W68"/>
      <c r="BX68"/>
      <c r="BY68"/>
      <c r="BZ68"/>
      <c r="CA68"/>
      <c r="CB68"/>
      <c r="CC68"/>
      <c r="CD68"/>
      <c r="CE68" s="2"/>
      <c r="CF68" s="2"/>
      <c r="CG68" s="2"/>
      <c r="CH68" s="2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 s="3"/>
      <c r="DK68"/>
      <c r="DL68"/>
      <c r="DM68"/>
    </row>
    <row r="69" spans="7:117" s="5" customFormat="1">
      <c r="G69" s="34"/>
      <c r="H69" s="10"/>
      <c r="I69" s="10"/>
      <c r="J69" s="6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s="1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W69"/>
      <c r="BX69"/>
      <c r="BY69"/>
      <c r="BZ69"/>
      <c r="CA69"/>
      <c r="CB69"/>
      <c r="CC69"/>
      <c r="CD69"/>
      <c r="CE69" s="2"/>
      <c r="CF69" s="2"/>
      <c r="CG69" s="2"/>
      <c r="CH69" s="2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 s="3"/>
      <c r="DK69"/>
      <c r="DL69"/>
      <c r="DM69"/>
    </row>
    <row r="70" spans="7:117" s="5" customFormat="1">
      <c r="G70" s="34"/>
      <c r="H70" s="10"/>
      <c r="I70" s="10"/>
      <c r="J70" s="6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s="1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W70"/>
      <c r="BX70"/>
      <c r="BY70"/>
      <c r="BZ70"/>
      <c r="CA70"/>
      <c r="CB70"/>
      <c r="CC70"/>
      <c r="CD70"/>
      <c r="CE70" s="2"/>
      <c r="CF70" s="2"/>
      <c r="CG70" s="2"/>
      <c r="CH70" s="2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 s="3"/>
      <c r="DK70"/>
      <c r="DL70"/>
      <c r="DM70"/>
    </row>
    <row r="71" spans="7:117" s="5" customFormat="1">
      <c r="G71" s="34"/>
      <c r="H71" s="10"/>
      <c r="I71" s="10"/>
      <c r="J71" s="6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s="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W71"/>
      <c r="BX71"/>
      <c r="BY71"/>
      <c r="BZ71"/>
      <c r="CA71"/>
      <c r="CB71"/>
      <c r="CC71"/>
      <c r="CD71"/>
      <c r="CE71" s="2"/>
      <c r="CF71" s="2"/>
      <c r="CG71" s="2"/>
      <c r="CH71" s="2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 s="3"/>
      <c r="DK71"/>
      <c r="DL71"/>
      <c r="DM71"/>
    </row>
    <row r="72" spans="7:117" s="5" customFormat="1">
      <c r="G72" s="34"/>
      <c r="H72" s="10"/>
      <c r="I72" s="10"/>
      <c r="J72" s="6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s="1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W72"/>
      <c r="BX72"/>
      <c r="BY72"/>
      <c r="BZ72"/>
      <c r="CA72"/>
      <c r="CB72"/>
      <c r="CC72"/>
      <c r="CD72"/>
      <c r="CE72" s="2"/>
      <c r="CF72" s="2"/>
      <c r="CG72" s="2"/>
      <c r="CH72" s="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 s="3"/>
      <c r="DK72"/>
      <c r="DL72"/>
      <c r="DM72"/>
    </row>
    <row r="73" spans="7:117" s="5" customFormat="1">
      <c r="G73" s="34"/>
      <c r="H73" s="10"/>
      <c r="I73" s="10"/>
      <c r="J73" s="6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s="1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W73"/>
      <c r="BX73"/>
      <c r="BY73"/>
      <c r="BZ73"/>
      <c r="CA73"/>
      <c r="CB73"/>
      <c r="CC73"/>
      <c r="CD73"/>
      <c r="CE73" s="2"/>
      <c r="CF73" s="2"/>
      <c r="CG73" s="2"/>
      <c r="CH73" s="2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 s="3"/>
      <c r="DK73"/>
      <c r="DL73"/>
      <c r="DM73"/>
    </row>
    <row r="74" spans="7:117" s="5" customFormat="1">
      <c r="G74" s="34"/>
      <c r="H74" s="10"/>
      <c r="I74" s="10"/>
      <c r="J74" s="6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s="1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W74"/>
      <c r="BX74"/>
      <c r="BY74"/>
      <c r="BZ74"/>
      <c r="CA74"/>
      <c r="CB74"/>
      <c r="CC74"/>
      <c r="CD74"/>
      <c r="CE74" s="2"/>
      <c r="CF74" s="2"/>
      <c r="CG74" s="2"/>
      <c r="CH74" s="2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 s="3"/>
      <c r="DK74"/>
      <c r="DL74"/>
      <c r="DM74"/>
    </row>
    <row r="75" spans="7:117" s="5" customFormat="1">
      <c r="G75" s="34"/>
      <c r="H75" s="10"/>
      <c r="I75" s="10"/>
      <c r="J75" s="6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s="1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W75"/>
      <c r="BX75"/>
      <c r="BY75"/>
      <c r="BZ75"/>
      <c r="CA75"/>
      <c r="CB75"/>
      <c r="CC75"/>
      <c r="CD75"/>
      <c r="CE75" s="2"/>
      <c r="CF75" s="2"/>
      <c r="CG75" s="2"/>
      <c r="CH75" s="2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 s="3"/>
      <c r="DK75"/>
      <c r="DL75"/>
      <c r="DM75"/>
    </row>
    <row r="76" spans="7:117" s="5" customFormat="1">
      <c r="G76" s="34"/>
      <c r="H76" s="10"/>
      <c r="I76" s="10"/>
      <c r="J76" s="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s="1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W76"/>
      <c r="BX76"/>
      <c r="BY76"/>
      <c r="BZ76"/>
      <c r="CA76"/>
      <c r="CB76"/>
      <c r="CC76"/>
      <c r="CD76"/>
      <c r="CE76" s="2"/>
      <c r="CF76" s="2"/>
      <c r="CG76" s="2"/>
      <c r="CH76" s="2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 s="3"/>
      <c r="DK76"/>
      <c r="DL76"/>
      <c r="DM76"/>
    </row>
    <row r="77" spans="7:117" s="5" customFormat="1">
      <c r="G77" s="34"/>
      <c r="H77" s="10"/>
      <c r="I77" s="10"/>
      <c r="J77" s="6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s="1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W77"/>
      <c r="BX77"/>
      <c r="BY77"/>
      <c r="BZ77"/>
      <c r="CA77"/>
      <c r="CB77"/>
      <c r="CC77"/>
      <c r="CD77"/>
      <c r="CE77" s="2"/>
      <c r="CF77" s="2"/>
      <c r="CG77" s="2"/>
      <c r="CH77" s="2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 s="3"/>
      <c r="DK77"/>
      <c r="DL77"/>
      <c r="DM77"/>
    </row>
    <row r="78" spans="7:117" s="5" customFormat="1">
      <c r="G78" s="34"/>
      <c r="H78" s="10"/>
      <c r="I78" s="10"/>
      <c r="J78" s="6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s="1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W78"/>
      <c r="BX78"/>
      <c r="BY78"/>
      <c r="BZ78"/>
      <c r="CA78"/>
      <c r="CB78"/>
      <c r="CC78"/>
      <c r="CD78"/>
      <c r="CE78" s="2"/>
      <c r="CF78" s="2"/>
      <c r="CG78" s="2"/>
      <c r="CH78" s="2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 s="3"/>
      <c r="DK78"/>
      <c r="DL78"/>
      <c r="DM78"/>
    </row>
    <row r="79" spans="7:117" s="5" customFormat="1">
      <c r="G79" s="34"/>
      <c r="H79" s="10"/>
      <c r="I79" s="50"/>
      <c r="J79" s="6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s="1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W79"/>
      <c r="BX79"/>
      <c r="BY79"/>
      <c r="BZ79"/>
      <c r="CA79"/>
      <c r="CB79"/>
      <c r="CC79"/>
      <c r="CD79"/>
      <c r="CE79" s="2"/>
      <c r="CF79" s="2"/>
      <c r="CG79" s="2"/>
      <c r="CH79" s="2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 s="3"/>
      <c r="DK79"/>
      <c r="DL79"/>
      <c r="DM79"/>
    </row>
    <row r="80" spans="7:117" s="5" customFormat="1">
      <c r="G80" s="34"/>
      <c r="H80" s="10"/>
      <c r="I80" s="10"/>
      <c r="J80" s="6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s="1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W80"/>
      <c r="BX80"/>
      <c r="BY80"/>
      <c r="BZ80"/>
      <c r="CA80"/>
      <c r="CB80"/>
      <c r="CC80"/>
      <c r="CD80"/>
      <c r="CE80" s="2"/>
      <c r="CF80" s="2"/>
      <c r="CG80" s="2"/>
      <c r="CH80" s="2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 s="3"/>
      <c r="DK80"/>
      <c r="DL80"/>
      <c r="DM80"/>
    </row>
    <row r="81" spans="7:117" s="5" customFormat="1">
      <c r="G81" s="34"/>
      <c r="H81" s="10"/>
      <c r="I81" s="10"/>
      <c r="J81" s="6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s="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W81"/>
      <c r="BX81"/>
      <c r="BY81"/>
      <c r="BZ81"/>
      <c r="CA81"/>
      <c r="CB81"/>
      <c r="CC81"/>
      <c r="CD81"/>
      <c r="CE81" s="2"/>
      <c r="CF81" s="2"/>
      <c r="CG81" s="2"/>
      <c r="CH81" s="2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 s="3"/>
      <c r="DK81"/>
      <c r="DL81"/>
      <c r="DM81"/>
    </row>
    <row r="82" spans="7:117" s="5" customFormat="1">
      <c r="G82" s="34"/>
      <c r="H82" s="10"/>
      <c r="I82" s="10"/>
      <c r="J82" s="6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s="1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W82"/>
      <c r="BX82"/>
      <c r="BY82"/>
      <c r="BZ82"/>
      <c r="CA82"/>
      <c r="CB82"/>
      <c r="CC82"/>
      <c r="CD82"/>
      <c r="CE82" s="2"/>
      <c r="CF82" s="2"/>
      <c r="CG82" s="2"/>
      <c r="CH82" s="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 s="3"/>
      <c r="DK82"/>
      <c r="DL82"/>
      <c r="DM82"/>
    </row>
    <row r="83" spans="7:117" s="5" customFormat="1">
      <c r="G83" s="34"/>
      <c r="H83" s="10"/>
      <c r="I83" s="10"/>
      <c r="J83" s="6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s="1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W83"/>
      <c r="BX83"/>
      <c r="BY83"/>
      <c r="BZ83"/>
      <c r="CA83"/>
      <c r="CB83"/>
      <c r="CC83"/>
      <c r="CD83"/>
      <c r="CE83" s="2"/>
      <c r="CF83" s="2"/>
      <c r="CG83" s="2"/>
      <c r="CH83" s="2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 s="3"/>
      <c r="DK83"/>
      <c r="DL83"/>
      <c r="DM83"/>
    </row>
    <row r="84" spans="7:117" s="5" customFormat="1">
      <c r="G84" s="34"/>
      <c r="H84" s="10"/>
      <c r="I84" s="10"/>
      <c r="J84" s="6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s="1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W84"/>
      <c r="BX84"/>
      <c r="BY84"/>
      <c r="BZ84"/>
      <c r="CA84"/>
      <c r="CB84"/>
      <c r="CC84"/>
      <c r="CD84"/>
      <c r="CE84" s="2"/>
      <c r="CF84" s="2"/>
      <c r="CG84" s="2"/>
      <c r="CH84" s="2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 s="3"/>
      <c r="DK84"/>
      <c r="DL84"/>
      <c r="DM84"/>
    </row>
    <row r="85" spans="7:117" s="5" customFormat="1">
      <c r="G85" s="34"/>
      <c r="H85" s="10"/>
      <c r="I85" s="10"/>
      <c r="J85" s="6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s="1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W85"/>
      <c r="BX85"/>
      <c r="BY85"/>
      <c r="BZ85"/>
      <c r="CA85"/>
      <c r="CB85"/>
      <c r="CC85"/>
      <c r="CD85"/>
      <c r="CE85" s="2"/>
      <c r="CF85" s="2"/>
      <c r="CG85" s="2"/>
      <c r="CH85" s="2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 s="3"/>
      <c r="DK85"/>
      <c r="DL85"/>
      <c r="DM85"/>
    </row>
    <row r="86" spans="7:117" s="5" customFormat="1">
      <c r="G86" s="34"/>
      <c r="H86" s="10"/>
      <c r="I86" s="10"/>
      <c r="J86" s="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s="1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W86"/>
      <c r="BX86"/>
      <c r="BY86"/>
      <c r="BZ86"/>
      <c r="CA86"/>
      <c r="CB86"/>
      <c r="CC86"/>
      <c r="CD86"/>
      <c r="CE86" s="2"/>
      <c r="CF86" s="2"/>
      <c r="CG86" s="2"/>
      <c r="CH86" s="2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 s="3"/>
      <c r="DK86"/>
      <c r="DL86"/>
      <c r="DM86"/>
    </row>
    <row r="87" spans="7:117" s="5" customFormat="1">
      <c r="G87" s="34"/>
      <c r="H87" s="10"/>
      <c r="I87" s="10"/>
      <c r="J87" s="6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s="1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W87"/>
      <c r="BX87"/>
      <c r="BY87"/>
      <c r="BZ87"/>
      <c r="CA87"/>
      <c r="CB87"/>
      <c r="CC87"/>
      <c r="CD87"/>
      <c r="CE87" s="2"/>
      <c r="CF87" s="2"/>
      <c r="CG87" s="2"/>
      <c r="CH87" s="2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 s="3"/>
      <c r="DK87"/>
      <c r="DL87"/>
      <c r="DM87"/>
    </row>
    <row r="88" spans="7:117" s="5" customFormat="1">
      <c r="G88" s="34"/>
      <c r="H88" s="10"/>
      <c r="I88" s="10"/>
      <c r="J88" s="6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s="1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W88"/>
      <c r="BX88"/>
      <c r="BY88"/>
      <c r="BZ88"/>
      <c r="CA88"/>
      <c r="CB88"/>
      <c r="CC88"/>
      <c r="CD88"/>
      <c r="CE88" s="2"/>
      <c r="CF88" s="2"/>
      <c r="CG88" s="2"/>
      <c r="CH88" s="2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 s="3"/>
      <c r="DK88"/>
      <c r="DL88"/>
      <c r="DM88"/>
    </row>
    <row r="89" spans="7:117" s="5" customFormat="1">
      <c r="G89" s="34"/>
      <c r="H89" s="10"/>
      <c r="I89" s="10"/>
      <c r="J89" s="6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s="1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W89"/>
      <c r="BX89"/>
      <c r="BY89"/>
      <c r="BZ89"/>
      <c r="CA89"/>
      <c r="CB89"/>
      <c r="CC89"/>
      <c r="CD89"/>
      <c r="CE89" s="2"/>
      <c r="CF89" s="2"/>
      <c r="CG89" s="2"/>
      <c r="CH89" s="2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 s="3"/>
      <c r="DK89"/>
      <c r="DL89"/>
      <c r="DM89"/>
    </row>
    <row r="90" spans="7:117" s="5" customFormat="1">
      <c r="G90" s="34"/>
      <c r="H90" s="10"/>
      <c r="I90" s="10"/>
      <c r="J90" s="6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s="1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W90"/>
      <c r="BX90"/>
      <c r="BY90"/>
      <c r="BZ90"/>
      <c r="CA90"/>
      <c r="CB90"/>
      <c r="CC90"/>
      <c r="CD90"/>
      <c r="CE90" s="2"/>
      <c r="CF90" s="2"/>
      <c r="CG90" s="2"/>
      <c r="CH90" s="2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 s="3"/>
      <c r="DK90"/>
      <c r="DL90"/>
      <c r="DM90"/>
    </row>
    <row r="91" spans="7:117" s="5" customFormat="1">
      <c r="G91" s="34"/>
      <c r="H91" s="10"/>
      <c r="I91" s="10"/>
      <c r="J91" s="6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s="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W91"/>
      <c r="BX91"/>
      <c r="BY91"/>
      <c r="BZ91"/>
      <c r="CA91"/>
      <c r="CB91"/>
      <c r="CC91"/>
      <c r="CD91"/>
      <c r="CE91" s="2"/>
      <c r="CF91" s="2"/>
      <c r="CG91" s="2"/>
      <c r="CH91" s="2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 s="3"/>
      <c r="DK91"/>
      <c r="DL91"/>
      <c r="DM91"/>
    </row>
    <row r="92" spans="7:117" s="5" customFormat="1">
      <c r="G92" s="34"/>
      <c r="H92" s="10"/>
      <c r="I92" s="10"/>
      <c r="J92" s="6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s="1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W92"/>
      <c r="BX92"/>
      <c r="BY92"/>
      <c r="BZ92"/>
      <c r="CA92"/>
      <c r="CB92"/>
      <c r="CC92"/>
      <c r="CD92"/>
      <c r="CE92" s="2"/>
      <c r="CF92" s="2"/>
      <c r="CG92" s="2"/>
      <c r="CH92" s="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 s="3"/>
      <c r="DK92"/>
      <c r="DL92"/>
      <c r="DM92"/>
    </row>
    <row r="93" spans="7:117" s="5" customFormat="1">
      <c r="G93" s="34"/>
      <c r="H93" s="10"/>
      <c r="I93" s="10"/>
      <c r="J93" s="6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s="1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W93"/>
      <c r="BX93"/>
      <c r="BY93"/>
      <c r="BZ93"/>
      <c r="CA93"/>
      <c r="CB93"/>
      <c r="CC93"/>
      <c r="CD93"/>
      <c r="CE93" s="2"/>
      <c r="CF93" s="2"/>
      <c r="CG93" s="2"/>
      <c r="CH93" s="2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 s="3"/>
      <c r="DK93"/>
      <c r="DL93"/>
      <c r="DM93"/>
    </row>
    <row r="94" spans="7:117" s="5" customFormat="1">
      <c r="G94" s="34"/>
      <c r="H94" s="10"/>
      <c r="I94" s="10"/>
      <c r="J94" s="6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s="1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W94"/>
      <c r="BX94"/>
      <c r="BY94"/>
      <c r="BZ94"/>
      <c r="CA94"/>
      <c r="CB94"/>
      <c r="CC94"/>
      <c r="CD94"/>
      <c r="CE94" s="2"/>
      <c r="CF94" s="2"/>
      <c r="CG94" s="2"/>
      <c r="CH94" s="2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 s="3"/>
      <c r="DK94"/>
      <c r="DL94"/>
      <c r="DM94"/>
    </row>
    <row r="95" spans="7:117" s="5" customFormat="1">
      <c r="G95" s="34"/>
      <c r="H95" s="10"/>
      <c r="I95" s="10"/>
      <c r="J95" s="6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s="1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W95"/>
      <c r="BX95"/>
      <c r="BY95"/>
      <c r="BZ95"/>
      <c r="CA95"/>
      <c r="CB95"/>
      <c r="CC95"/>
      <c r="CD95"/>
      <c r="CE95" s="2"/>
      <c r="CF95" s="2"/>
      <c r="CG95" s="2"/>
      <c r="CH95" s="2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 s="3"/>
      <c r="DK95"/>
      <c r="DL95"/>
      <c r="DM95"/>
    </row>
    <row r="96" spans="7:117" s="5" customFormat="1">
      <c r="G96" s="34"/>
      <c r="H96" s="10"/>
      <c r="I96" s="10"/>
      <c r="J96" s="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s="1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W96"/>
      <c r="BX96"/>
      <c r="BY96"/>
      <c r="BZ96"/>
      <c r="CA96"/>
      <c r="CB96"/>
      <c r="CC96"/>
      <c r="CD96"/>
      <c r="CE96" s="2"/>
      <c r="CF96" s="2"/>
      <c r="CG96" s="2"/>
      <c r="CH96" s="2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 s="3"/>
      <c r="DK96"/>
      <c r="DL96"/>
      <c r="DM96"/>
    </row>
    <row r="97" spans="7:117" s="5" customFormat="1">
      <c r="G97" s="34"/>
      <c r="H97" s="10"/>
      <c r="I97" s="10"/>
      <c r="J97" s="6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s="1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W97"/>
      <c r="BX97"/>
      <c r="BY97"/>
      <c r="BZ97"/>
      <c r="CA97"/>
      <c r="CB97"/>
      <c r="CC97"/>
      <c r="CD97"/>
      <c r="CE97" s="2"/>
      <c r="CF97" s="2"/>
      <c r="CG97" s="2"/>
      <c r="CH97" s="2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 s="3"/>
      <c r="DK97"/>
      <c r="DL97"/>
      <c r="DM97"/>
    </row>
    <row r="98" spans="7:117" s="5" customFormat="1">
      <c r="G98" s="34"/>
      <c r="H98" s="10"/>
      <c r="I98" s="10"/>
      <c r="J98" s="6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s="1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W98"/>
      <c r="BX98"/>
      <c r="BY98"/>
      <c r="BZ98"/>
      <c r="CA98"/>
      <c r="CB98"/>
      <c r="CC98"/>
      <c r="CD98"/>
      <c r="CE98" s="2"/>
      <c r="CF98" s="2"/>
      <c r="CG98" s="2"/>
      <c r="CH98" s="2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 s="3"/>
      <c r="DK98"/>
      <c r="DL98"/>
      <c r="DM98"/>
    </row>
    <row r="99" spans="7:117" s="5" customFormat="1">
      <c r="G99" s="34"/>
      <c r="H99" s="10"/>
      <c r="I99" s="10"/>
      <c r="J99" s="6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s="1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W99"/>
      <c r="BX99"/>
      <c r="BY99"/>
      <c r="BZ99"/>
      <c r="CA99"/>
      <c r="CB99"/>
      <c r="CC99"/>
      <c r="CD99"/>
      <c r="CE99" s="2"/>
      <c r="CF99" s="2"/>
      <c r="CG99" s="2"/>
      <c r="CH99" s="2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 s="3"/>
      <c r="DK99"/>
      <c r="DL99"/>
      <c r="DM99"/>
    </row>
    <row r="100" spans="7:117" s="5" customFormat="1">
      <c r="G100" s="34"/>
      <c r="H100" s="10"/>
      <c r="I100" s="10"/>
      <c r="J100" s="6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s="1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W100"/>
      <c r="BX100"/>
      <c r="BY100"/>
      <c r="BZ100"/>
      <c r="CA100"/>
      <c r="CB100"/>
      <c r="CC100"/>
      <c r="CD100"/>
      <c r="CE100" s="2"/>
      <c r="CF100" s="2"/>
      <c r="CG100" s="2"/>
      <c r="CH100" s="2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 s="3"/>
      <c r="DK100"/>
      <c r="DL100"/>
      <c r="DM100"/>
    </row>
    <row r="101" spans="7:117" s="5" customFormat="1">
      <c r="G101" s="34"/>
      <c r="H101" s="10"/>
      <c r="I101" s="10"/>
      <c r="J101" s="6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s="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W101"/>
      <c r="BX101"/>
      <c r="BY101"/>
      <c r="BZ101"/>
      <c r="CA101"/>
      <c r="CB101"/>
      <c r="CC101"/>
      <c r="CD101"/>
      <c r="CE101" s="2"/>
      <c r="CF101" s="2"/>
      <c r="CG101" s="2"/>
      <c r="CH101" s="2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 s="3"/>
      <c r="DK101"/>
      <c r="DL101"/>
      <c r="DM101"/>
    </row>
    <row r="102" spans="7:117" s="5" customFormat="1">
      <c r="G102" s="34"/>
      <c r="H102" s="10"/>
      <c r="I102" s="10"/>
      <c r="J102" s="6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s="1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W102"/>
      <c r="BX102"/>
      <c r="BY102"/>
      <c r="BZ102"/>
      <c r="CA102"/>
      <c r="CB102"/>
      <c r="CC102"/>
      <c r="CD102"/>
      <c r="CE102" s="2"/>
      <c r="CF102" s="2"/>
      <c r="CG102" s="2"/>
      <c r="CH102" s="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 s="3"/>
      <c r="DK102"/>
      <c r="DL102"/>
      <c r="DM102"/>
    </row>
    <row r="103" spans="7:117" s="5" customFormat="1">
      <c r="G103" s="34"/>
      <c r="H103" s="10"/>
      <c r="I103" s="10"/>
      <c r="J103" s="6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s="1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W103"/>
      <c r="BX103"/>
      <c r="BY103"/>
      <c r="BZ103"/>
      <c r="CA103"/>
      <c r="CB103"/>
      <c r="CC103"/>
      <c r="CD103"/>
      <c r="CE103" s="2"/>
      <c r="CF103" s="2"/>
      <c r="CG103" s="2"/>
      <c r="CH103" s="2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 s="3"/>
      <c r="DK103"/>
      <c r="DL103"/>
      <c r="DM103"/>
    </row>
    <row r="104" spans="7:117" s="5" customFormat="1">
      <c r="G104" s="34"/>
      <c r="H104" s="10"/>
      <c r="I104" s="10"/>
      <c r="J104" s="6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s="1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W104"/>
      <c r="BX104"/>
      <c r="BY104"/>
      <c r="BZ104"/>
      <c r="CA104"/>
      <c r="CB104"/>
      <c r="CC104"/>
      <c r="CD104"/>
      <c r="CE104" s="2"/>
      <c r="CF104" s="2"/>
      <c r="CG104" s="2"/>
      <c r="CH104" s="2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 s="3"/>
      <c r="DK104"/>
      <c r="DL104"/>
      <c r="DM104"/>
    </row>
    <row r="105" spans="7:117" s="5" customFormat="1">
      <c r="G105" s="34"/>
      <c r="H105" s="10"/>
      <c r="I105" s="10"/>
      <c r="J105" s="6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s="1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W105"/>
      <c r="BX105"/>
      <c r="BY105"/>
      <c r="BZ105"/>
      <c r="CA105"/>
      <c r="CB105"/>
      <c r="CC105"/>
      <c r="CD105"/>
      <c r="CE105" s="2"/>
      <c r="CF105" s="2"/>
      <c r="CG105" s="2"/>
      <c r="CH105" s="2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 s="3"/>
      <c r="DK105"/>
      <c r="DL105"/>
      <c r="DM105"/>
    </row>
    <row r="106" spans="7:117" s="5" customFormat="1">
      <c r="G106" s="34"/>
      <c r="H106" s="10"/>
      <c r="I106" s="10"/>
      <c r="J106" s="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s="1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W106"/>
      <c r="BX106"/>
      <c r="BY106"/>
      <c r="BZ106"/>
      <c r="CA106"/>
      <c r="CB106"/>
      <c r="CC106"/>
      <c r="CD106"/>
      <c r="CE106" s="2"/>
      <c r="CF106" s="2"/>
      <c r="CG106" s="2"/>
      <c r="CH106" s="2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 s="3"/>
      <c r="DK106"/>
      <c r="DL106"/>
      <c r="DM106"/>
    </row>
    <row r="107" spans="7:117" s="5" customFormat="1">
      <c r="G107" s="34"/>
      <c r="H107" s="10"/>
      <c r="I107" s="10"/>
      <c r="J107" s="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s="1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W107"/>
      <c r="BX107"/>
      <c r="BY107"/>
      <c r="BZ107"/>
      <c r="CA107"/>
      <c r="CB107"/>
      <c r="CC107"/>
      <c r="CD107"/>
      <c r="CE107" s="2"/>
      <c r="CF107" s="2"/>
      <c r="CG107" s="2"/>
      <c r="CH107" s="2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 s="3"/>
      <c r="DK107"/>
      <c r="DL107"/>
      <c r="DM107"/>
    </row>
    <row r="108" spans="7:117" s="5" customFormat="1">
      <c r="G108" s="34"/>
      <c r="H108" s="10"/>
      <c r="I108" s="10"/>
      <c r="J108" s="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s="1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W108"/>
      <c r="BX108"/>
      <c r="BY108"/>
      <c r="BZ108"/>
      <c r="CA108"/>
      <c r="CB108"/>
      <c r="CC108"/>
      <c r="CD108"/>
      <c r="CE108" s="2"/>
      <c r="CF108" s="2"/>
      <c r="CG108" s="2"/>
      <c r="CH108" s="2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 s="3"/>
      <c r="DK108"/>
      <c r="DL108"/>
      <c r="DM108"/>
    </row>
    <row r="109" spans="7:117" s="5" customFormat="1">
      <c r="G109" s="34"/>
      <c r="H109" s="10"/>
      <c r="I109" s="10"/>
      <c r="J109" s="6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s="1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W109"/>
      <c r="BX109"/>
      <c r="BY109"/>
      <c r="BZ109"/>
      <c r="CA109"/>
      <c r="CB109"/>
      <c r="CC109"/>
      <c r="CD109"/>
      <c r="CE109" s="2"/>
      <c r="CF109" s="2"/>
      <c r="CG109" s="2"/>
      <c r="CH109" s="2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 s="3"/>
      <c r="DK109"/>
      <c r="DL109"/>
      <c r="DM109"/>
    </row>
    <row r="110" spans="7:117" s="5" customFormat="1">
      <c r="G110" s="34"/>
      <c r="H110" s="10"/>
      <c r="I110" s="10"/>
      <c r="J110" s="6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s="1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W110"/>
      <c r="BX110"/>
      <c r="BY110"/>
      <c r="BZ110"/>
      <c r="CA110"/>
      <c r="CB110"/>
      <c r="CC110"/>
      <c r="CD110"/>
      <c r="CE110" s="2"/>
      <c r="CF110" s="2"/>
      <c r="CG110" s="2"/>
      <c r="CH110" s="2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 s="3"/>
      <c r="DK110"/>
      <c r="DL110"/>
      <c r="DM110"/>
    </row>
    <row r="111" spans="7:117" s="5" customFormat="1">
      <c r="G111" s="34"/>
      <c r="H111" s="10"/>
      <c r="I111" s="10"/>
      <c r="J111" s="6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s="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W111"/>
      <c r="BX111"/>
      <c r="BY111"/>
      <c r="BZ111"/>
      <c r="CA111"/>
      <c r="CB111"/>
      <c r="CC111"/>
      <c r="CD111"/>
      <c r="CE111" s="2"/>
      <c r="CF111" s="2"/>
      <c r="CG111" s="2"/>
      <c r="CH111" s="2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 s="3"/>
      <c r="DK111"/>
      <c r="DL111"/>
      <c r="DM111"/>
    </row>
    <row r="112" spans="7:117" s="5" customFormat="1">
      <c r="G112" s="34"/>
      <c r="H112" s="10"/>
      <c r="I112" s="10"/>
      <c r="J112" s="6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s="1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W112"/>
      <c r="BX112"/>
      <c r="BY112"/>
      <c r="BZ112"/>
      <c r="CA112"/>
      <c r="CB112"/>
      <c r="CC112"/>
      <c r="CD112"/>
      <c r="CE112" s="2"/>
      <c r="CF112" s="2"/>
      <c r="CG112" s="2"/>
      <c r="CH112" s="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 s="3"/>
      <c r="DK112"/>
      <c r="DL112"/>
      <c r="DM112"/>
    </row>
    <row r="113" spans="7:117" s="5" customFormat="1">
      <c r="G113" s="34"/>
      <c r="H113" s="10"/>
      <c r="I113" s="10"/>
      <c r="J113" s="6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s="1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W113"/>
      <c r="BX113"/>
      <c r="BY113"/>
      <c r="BZ113"/>
      <c r="CA113"/>
      <c r="CB113"/>
      <c r="CC113"/>
      <c r="CD113"/>
      <c r="CE113" s="2"/>
      <c r="CF113" s="2"/>
      <c r="CG113" s="2"/>
      <c r="CH113" s="2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 s="3"/>
      <c r="DK113"/>
      <c r="DL113"/>
      <c r="DM113"/>
    </row>
    <row r="114" spans="7:117" s="5" customFormat="1">
      <c r="G114" s="34"/>
      <c r="H114" s="10"/>
      <c r="I114" s="10"/>
      <c r="J114" s="6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s="1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W114"/>
      <c r="BX114"/>
      <c r="BY114"/>
      <c r="BZ114"/>
      <c r="CA114"/>
      <c r="CB114"/>
      <c r="CC114"/>
      <c r="CD114"/>
      <c r="CE114" s="2"/>
      <c r="CF114" s="2"/>
      <c r="CG114" s="2"/>
      <c r="CH114" s="2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 s="3"/>
      <c r="DK114"/>
      <c r="DL114"/>
      <c r="DM114"/>
    </row>
    <row r="115" spans="7:117" s="5" customFormat="1">
      <c r="G115" s="34"/>
      <c r="H115" s="10"/>
      <c r="I115" s="10"/>
      <c r="J115" s="6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s="1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W115"/>
      <c r="BX115"/>
      <c r="BY115"/>
      <c r="BZ115"/>
      <c r="CA115"/>
      <c r="CB115"/>
      <c r="CC115"/>
      <c r="CD115"/>
      <c r="CE115" s="2"/>
      <c r="CF115" s="2"/>
      <c r="CG115" s="2"/>
      <c r="CH115" s="2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 s="3"/>
      <c r="DK115"/>
      <c r="DL115"/>
      <c r="DM115"/>
    </row>
    <row r="116" spans="7:117" s="5" customFormat="1">
      <c r="G116" s="34"/>
      <c r="H116" s="10"/>
      <c r="I116" s="10"/>
      <c r="J116" s="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s="1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W116"/>
      <c r="BX116"/>
      <c r="BY116"/>
      <c r="BZ116"/>
      <c r="CA116"/>
      <c r="CB116"/>
      <c r="CC116"/>
      <c r="CD116"/>
      <c r="CE116" s="2"/>
      <c r="CF116" s="2"/>
      <c r="CG116" s="2"/>
      <c r="CH116" s="2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 s="3"/>
      <c r="DK116"/>
      <c r="DL116"/>
      <c r="DM116"/>
    </row>
    <row r="117" spans="7:117" s="5" customFormat="1">
      <c r="G117" s="34"/>
      <c r="H117" s="10"/>
      <c r="I117" s="10"/>
      <c r="J117" s="6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s="1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W117"/>
      <c r="BX117"/>
      <c r="BY117"/>
      <c r="BZ117"/>
      <c r="CA117"/>
      <c r="CB117"/>
      <c r="CC117"/>
      <c r="CD117"/>
      <c r="CE117" s="2"/>
      <c r="CF117" s="2"/>
      <c r="CG117" s="2"/>
      <c r="CH117" s="2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 s="3"/>
      <c r="DK117"/>
      <c r="DL117"/>
      <c r="DM117"/>
    </row>
    <row r="118" spans="7:117" s="5" customFormat="1">
      <c r="G118" s="34"/>
      <c r="H118" s="10"/>
      <c r="I118" s="10"/>
      <c r="J118" s="6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s="1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W118"/>
      <c r="BX118"/>
      <c r="BY118"/>
      <c r="BZ118"/>
      <c r="CA118"/>
      <c r="CB118"/>
      <c r="CC118"/>
      <c r="CD118"/>
      <c r="CE118" s="2"/>
      <c r="CF118" s="2"/>
      <c r="CG118" s="2"/>
      <c r="CH118" s="2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 s="3"/>
      <c r="DK118"/>
      <c r="DL118"/>
      <c r="DM118"/>
    </row>
    <row r="119" spans="7:117" s="5" customFormat="1">
      <c r="G119" s="34"/>
      <c r="H119" s="10"/>
      <c r="I119" s="10"/>
      <c r="J119" s="6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s="1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W119"/>
      <c r="BX119"/>
      <c r="BY119"/>
      <c r="BZ119"/>
      <c r="CA119"/>
      <c r="CB119"/>
      <c r="CC119"/>
      <c r="CD119"/>
      <c r="CE119" s="2"/>
      <c r="CF119" s="2"/>
      <c r="CG119" s="2"/>
      <c r="CH119" s="2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 s="3"/>
      <c r="DK119"/>
      <c r="DL119"/>
      <c r="DM119"/>
    </row>
    <row r="120" spans="7:117" s="5" customFormat="1">
      <c r="G120" s="34"/>
      <c r="H120" s="10"/>
      <c r="I120" s="10"/>
      <c r="J120" s="6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s="1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W120"/>
      <c r="BX120"/>
      <c r="BY120"/>
      <c r="BZ120"/>
      <c r="CA120"/>
      <c r="CB120"/>
      <c r="CC120"/>
      <c r="CD120"/>
      <c r="CE120" s="2"/>
      <c r="CF120" s="2"/>
      <c r="CG120" s="2"/>
      <c r="CH120" s="2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 s="3"/>
      <c r="DK120"/>
      <c r="DL120"/>
      <c r="DM120"/>
    </row>
    <row r="121" spans="7:117" s="5" customFormat="1">
      <c r="G121" s="34"/>
      <c r="H121" s="10"/>
      <c r="I121" s="10"/>
      <c r="J121" s="6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s="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W121"/>
      <c r="BX121"/>
      <c r="BY121"/>
      <c r="BZ121"/>
      <c r="CA121"/>
      <c r="CB121"/>
      <c r="CC121"/>
      <c r="CD121"/>
      <c r="CE121" s="2"/>
      <c r="CF121" s="2"/>
      <c r="CG121" s="2"/>
      <c r="CH121" s="2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 s="3"/>
      <c r="DK121"/>
      <c r="DL121"/>
      <c r="DM121"/>
    </row>
    <row r="122" spans="7:117" s="5" customFormat="1">
      <c r="G122" s="34"/>
      <c r="H122" s="10"/>
      <c r="I122" s="10"/>
      <c r="J122" s="6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s="1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W122"/>
      <c r="BX122"/>
      <c r="BY122"/>
      <c r="BZ122"/>
      <c r="CA122"/>
      <c r="CB122"/>
      <c r="CC122"/>
      <c r="CD122"/>
      <c r="CE122" s="2"/>
      <c r="CF122" s="2"/>
      <c r="CG122" s="2"/>
      <c r="CH122" s="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 s="3"/>
      <c r="DK122"/>
      <c r="DL122"/>
      <c r="DM122"/>
    </row>
    <row r="123" spans="7:117" s="5" customFormat="1">
      <c r="G123" s="34"/>
      <c r="H123" s="10"/>
      <c r="I123" s="10"/>
      <c r="J123" s="6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s="1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W123"/>
      <c r="BX123"/>
      <c r="BY123"/>
      <c r="BZ123"/>
      <c r="CA123"/>
      <c r="CB123"/>
      <c r="CC123"/>
      <c r="CD123"/>
      <c r="CE123" s="2"/>
      <c r="CF123" s="2"/>
      <c r="CG123" s="2"/>
      <c r="CH123" s="2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 s="3"/>
      <c r="DK123"/>
      <c r="DL123"/>
      <c r="DM123"/>
    </row>
    <row r="124" spans="7:117" s="5" customFormat="1">
      <c r="G124" s="34"/>
      <c r="H124" s="10"/>
      <c r="I124" s="10"/>
      <c r="J124" s="6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s="1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W124"/>
      <c r="BX124"/>
      <c r="BY124"/>
      <c r="BZ124"/>
      <c r="CA124"/>
      <c r="CB124"/>
      <c r="CC124"/>
      <c r="CD124"/>
      <c r="CE124" s="2"/>
      <c r="CF124" s="2"/>
      <c r="CG124" s="2"/>
      <c r="CH124" s="2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 s="3"/>
      <c r="DK124"/>
      <c r="DL124"/>
      <c r="DM124"/>
    </row>
    <row r="125" spans="7:117" s="5" customFormat="1">
      <c r="G125" s="34"/>
      <c r="H125" s="10"/>
      <c r="I125" s="10"/>
      <c r="J125" s="6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s="1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W125"/>
      <c r="BX125"/>
      <c r="BY125"/>
      <c r="BZ125"/>
      <c r="CA125"/>
      <c r="CB125"/>
      <c r="CC125"/>
      <c r="CD125"/>
      <c r="CE125" s="2"/>
      <c r="CF125" s="2"/>
      <c r="CG125" s="2"/>
      <c r="CH125" s="2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 s="3"/>
      <c r="DK125"/>
      <c r="DL125"/>
      <c r="DM125"/>
    </row>
    <row r="126" spans="7:117" s="5" customFormat="1">
      <c r="G126" s="34"/>
      <c r="H126" s="10"/>
      <c r="I126" s="10"/>
      <c r="J126" s="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s="1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W126"/>
      <c r="BX126"/>
      <c r="BY126"/>
      <c r="BZ126"/>
      <c r="CA126"/>
      <c r="CB126"/>
      <c r="CC126"/>
      <c r="CD126"/>
      <c r="CE126" s="2"/>
      <c r="CF126" s="2"/>
      <c r="CG126" s="2"/>
      <c r="CH126" s="2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 s="3"/>
      <c r="DK126"/>
      <c r="DL126"/>
      <c r="DM126"/>
    </row>
    <row r="127" spans="7:117" s="5" customFormat="1">
      <c r="G127" s="34"/>
      <c r="H127" s="10"/>
      <c r="I127" s="10"/>
      <c r="J127" s="6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s="1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W127"/>
      <c r="BX127"/>
      <c r="BY127"/>
      <c r="BZ127"/>
      <c r="CA127"/>
      <c r="CB127"/>
      <c r="CC127"/>
      <c r="CD127"/>
      <c r="CE127" s="2"/>
      <c r="CF127" s="2"/>
      <c r="CG127" s="2"/>
      <c r="CH127" s="2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 s="3"/>
      <c r="DK127"/>
      <c r="DL127"/>
      <c r="DM127"/>
    </row>
    <row r="128" spans="7:117" s="5" customFormat="1">
      <c r="G128" s="34"/>
      <c r="H128" s="10"/>
      <c r="I128" s="10"/>
      <c r="J128" s="6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s="1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W128"/>
      <c r="BX128"/>
      <c r="BY128"/>
      <c r="BZ128"/>
      <c r="CA128"/>
      <c r="CB128"/>
      <c r="CC128"/>
      <c r="CD128"/>
      <c r="CE128" s="2"/>
      <c r="CF128" s="2"/>
      <c r="CG128" s="2"/>
      <c r="CH128" s="2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 s="3"/>
      <c r="DK128"/>
      <c r="DL128"/>
      <c r="DM128"/>
    </row>
    <row r="129" spans="7:117" s="5" customFormat="1">
      <c r="G129" s="34"/>
      <c r="H129" s="10"/>
      <c r="I129" s="10"/>
      <c r="J129" s="6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s="1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W129"/>
      <c r="BX129"/>
      <c r="BY129"/>
      <c r="BZ129"/>
      <c r="CA129"/>
      <c r="CB129"/>
      <c r="CC129"/>
      <c r="CD129"/>
      <c r="CE129" s="2"/>
      <c r="CF129" s="2"/>
      <c r="CG129" s="2"/>
      <c r="CH129" s="2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 s="3"/>
      <c r="DK129"/>
      <c r="DL129"/>
      <c r="DM129"/>
    </row>
    <row r="130" spans="7:117" s="5" customFormat="1">
      <c r="G130" s="34"/>
      <c r="H130" s="10"/>
      <c r="I130" s="10"/>
      <c r="J130" s="6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s="1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W130"/>
      <c r="BX130"/>
      <c r="BY130"/>
      <c r="BZ130"/>
      <c r="CA130"/>
      <c r="CB130"/>
      <c r="CC130"/>
      <c r="CD130"/>
      <c r="CE130" s="2"/>
      <c r="CF130" s="2"/>
      <c r="CG130" s="2"/>
      <c r="CH130" s="2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 s="3"/>
      <c r="DK130"/>
      <c r="DL130"/>
      <c r="DM130"/>
    </row>
    <row r="131" spans="7:117" s="5" customFormat="1">
      <c r="G131" s="34"/>
      <c r="H131" s="10"/>
      <c r="I131" s="10"/>
      <c r="J131" s="6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s="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W131"/>
      <c r="BX131"/>
      <c r="BY131"/>
      <c r="BZ131"/>
      <c r="CA131"/>
      <c r="CB131"/>
      <c r="CC131"/>
      <c r="CD131"/>
      <c r="CE131" s="2"/>
      <c r="CF131" s="2"/>
      <c r="CG131" s="2"/>
      <c r="CH131" s="2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 s="3"/>
      <c r="DK131"/>
      <c r="DL131"/>
      <c r="DM131"/>
    </row>
    <row r="132" spans="7:117" s="5" customFormat="1">
      <c r="G132" s="34"/>
      <c r="H132" s="10"/>
      <c r="I132" s="10"/>
      <c r="J132" s="6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s="1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W132"/>
      <c r="BX132"/>
      <c r="BY132"/>
      <c r="BZ132"/>
      <c r="CA132"/>
      <c r="CB132"/>
      <c r="CC132"/>
      <c r="CD132"/>
      <c r="CE132" s="2"/>
      <c r="CF132" s="2"/>
      <c r="CG132" s="2"/>
      <c r="CH132" s="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 s="3"/>
      <c r="DK132"/>
      <c r="DL132"/>
      <c r="DM132"/>
    </row>
    <row r="133" spans="7:117" s="5" customFormat="1">
      <c r="G133" s="34"/>
      <c r="H133" s="10"/>
      <c r="I133" s="10"/>
      <c r="J133" s="6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s="1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W133"/>
      <c r="BX133"/>
      <c r="BY133"/>
      <c r="BZ133"/>
      <c r="CA133"/>
      <c r="CB133"/>
      <c r="CC133"/>
      <c r="CD133"/>
      <c r="CE133" s="2"/>
      <c r="CF133" s="2"/>
      <c r="CG133" s="2"/>
      <c r="CH133" s="2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 s="3"/>
      <c r="DK133"/>
      <c r="DL133"/>
      <c r="DM133"/>
    </row>
    <row r="134" spans="7:117" s="5" customFormat="1">
      <c r="G134" s="34"/>
      <c r="H134" s="10"/>
      <c r="I134" s="10"/>
      <c r="J134" s="6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s="1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W134"/>
      <c r="BX134"/>
      <c r="BY134"/>
      <c r="BZ134"/>
      <c r="CA134"/>
      <c r="CB134"/>
      <c r="CC134"/>
      <c r="CD134"/>
      <c r="CE134" s="2"/>
      <c r="CF134" s="2"/>
      <c r="CG134" s="2"/>
      <c r="CH134" s="2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 s="3"/>
      <c r="DK134"/>
      <c r="DL134"/>
      <c r="DM134"/>
    </row>
    <row r="135" spans="7:117" s="5" customFormat="1">
      <c r="G135" s="34"/>
      <c r="H135" s="10"/>
      <c r="I135" s="10"/>
      <c r="J135" s="6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s="1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W135"/>
      <c r="BX135"/>
      <c r="BY135"/>
      <c r="BZ135"/>
      <c r="CA135"/>
      <c r="CB135"/>
      <c r="CC135"/>
      <c r="CD135"/>
      <c r="CE135" s="2"/>
      <c r="CF135" s="2"/>
      <c r="CG135" s="2"/>
      <c r="CH135" s="2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 s="3"/>
      <c r="DK135"/>
      <c r="DL135"/>
      <c r="DM135"/>
    </row>
    <row r="136" spans="7:117" s="5" customFormat="1">
      <c r="G136" s="34"/>
      <c r="H136" s="10"/>
      <c r="I136" s="10"/>
      <c r="J136" s="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s="1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W136"/>
      <c r="BX136"/>
      <c r="BY136"/>
      <c r="BZ136"/>
      <c r="CA136"/>
      <c r="CB136"/>
      <c r="CC136"/>
      <c r="CD136"/>
      <c r="CE136" s="2"/>
      <c r="CF136" s="2"/>
      <c r="CG136" s="2"/>
      <c r="CH136" s="2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 s="3"/>
      <c r="DK136"/>
      <c r="DL136"/>
      <c r="DM136"/>
    </row>
    <row r="137" spans="7:117" s="5" customFormat="1">
      <c r="G137" s="34"/>
      <c r="H137" s="10"/>
      <c r="I137" s="10"/>
      <c r="J137" s="6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s="1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W137"/>
      <c r="BX137"/>
      <c r="BY137"/>
      <c r="BZ137"/>
      <c r="CA137"/>
      <c r="CB137"/>
      <c r="CC137"/>
      <c r="CD137"/>
      <c r="CE137" s="2"/>
      <c r="CF137" s="2"/>
      <c r="CG137" s="2"/>
      <c r="CH137" s="2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 s="3"/>
      <c r="DK137"/>
      <c r="DL137"/>
      <c r="DM137"/>
    </row>
    <row r="138" spans="7:117" s="5" customFormat="1">
      <c r="G138" s="34"/>
      <c r="H138" s="10"/>
      <c r="I138" s="10"/>
      <c r="J138" s="6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s="1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W138"/>
      <c r="BX138"/>
      <c r="BY138"/>
      <c r="BZ138"/>
      <c r="CA138"/>
      <c r="CB138"/>
      <c r="CC138"/>
      <c r="CD138"/>
      <c r="CE138" s="2"/>
      <c r="CF138" s="2"/>
      <c r="CG138" s="2"/>
      <c r="CH138" s="2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 s="3"/>
      <c r="DK138"/>
      <c r="DL138"/>
      <c r="DM138"/>
    </row>
    <row r="139" spans="7:117" s="5" customFormat="1">
      <c r="G139" s="34"/>
      <c r="H139" s="10"/>
      <c r="I139" s="10"/>
      <c r="J139" s="6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s="1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W139"/>
      <c r="BX139"/>
      <c r="BY139"/>
      <c r="BZ139"/>
      <c r="CA139"/>
      <c r="CB139"/>
      <c r="CC139"/>
      <c r="CD139"/>
      <c r="CE139" s="2"/>
      <c r="CF139" s="2"/>
      <c r="CG139" s="2"/>
      <c r="CH139" s="2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 s="3"/>
      <c r="DK139"/>
      <c r="DL139"/>
      <c r="DM139"/>
    </row>
    <row r="140" spans="7:117" s="5" customFormat="1">
      <c r="G140" s="34"/>
      <c r="H140" s="10"/>
      <c r="I140" s="10"/>
      <c r="J140" s="6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s="1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W140"/>
      <c r="BX140"/>
      <c r="BY140"/>
      <c r="BZ140"/>
      <c r="CA140"/>
      <c r="CB140"/>
      <c r="CC140"/>
      <c r="CD140"/>
      <c r="CE140" s="2"/>
      <c r="CF140" s="2"/>
      <c r="CG140" s="2"/>
      <c r="CH140" s="2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 s="3"/>
      <c r="DK140"/>
      <c r="DL140"/>
      <c r="DM140"/>
    </row>
    <row r="141" spans="7:117" s="5" customFormat="1">
      <c r="G141" s="34"/>
      <c r="H141" s="10"/>
      <c r="I141" s="10"/>
      <c r="J141" s="6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s="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W141"/>
      <c r="BX141"/>
      <c r="BY141"/>
      <c r="BZ141"/>
      <c r="CA141"/>
      <c r="CB141"/>
      <c r="CC141"/>
      <c r="CD141"/>
      <c r="CE141" s="2"/>
      <c r="CF141" s="2"/>
      <c r="CG141" s="2"/>
      <c r="CH141" s="2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 s="3"/>
      <c r="DK141"/>
      <c r="DL141"/>
      <c r="DM141"/>
    </row>
    <row r="142" spans="7:117" s="5" customFormat="1">
      <c r="G142" s="34"/>
      <c r="H142" s="10"/>
      <c r="I142" s="10"/>
      <c r="J142" s="6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s="1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W142"/>
      <c r="BX142"/>
      <c r="BY142"/>
      <c r="BZ142"/>
      <c r="CA142"/>
      <c r="CB142"/>
      <c r="CC142"/>
      <c r="CD142"/>
      <c r="CE142" s="2"/>
      <c r="CF142" s="2"/>
      <c r="CG142" s="2"/>
      <c r="CH142" s="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 s="3"/>
      <c r="DK142"/>
      <c r="DL142"/>
      <c r="DM142"/>
    </row>
    <row r="143" spans="7:117" s="5" customFormat="1">
      <c r="G143" s="34"/>
      <c r="H143" s="10"/>
      <c r="I143" s="10"/>
      <c r="J143" s="6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s="1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W143"/>
      <c r="BX143"/>
      <c r="BY143"/>
      <c r="BZ143"/>
      <c r="CA143"/>
      <c r="CB143"/>
      <c r="CC143"/>
      <c r="CD143"/>
      <c r="CE143" s="2"/>
      <c r="CF143" s="2"/>
      <c r="CG143" s="2"/>
      <c r="CH143" s="2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 s="3"/>
      <c r="DK143"/>
      <c r="DL143"/>
      <c r="DM143"/>
    </row>
    <row r="144" spans="7:117" s="5" customFormat="1">
      <c r="G144" s="34"/>
      <c r="H144" s="10"/>
      <c r="I144" s="10"/>
      <c r="J144" s="6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s="1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W144"/>
      <c r="BX144"/>
      <c r="BY144"/>
      <c r="BZ144"/>
      <c r="CA144"/>
      <c r="CB144"/>
      <c r="CC144"/>
      <c r="CD144"/>
      <c r="CE144" s="2"/>
      <c r="CF144" s="2"/>
      <c r="CG144" s="2"/>
      <c r="CH144" s="2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 s="3"/>
      <c r="DK144"/>
      <c r="DL144"/>
      <c r="DM144"/>
    </row>
    <row r="145" spans="7:117" s="5" customFormat="1">
      <c r="G145" s="34"/>
      <c r="H145" s="10"/>
      <c r="I145" s="10"/>
      <c r="J145" s="6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s="1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W145"/>
      <c r="BX145"/>
      <c r="BY145"/>
      <c r="BZ145"/>
      <c r="CA145"/>
      <c r="CB145"/>
      <c r="CC145"/>
      <c r="CD145"/>
      <c r="CE145" s="2"/>
      <c r="CF145" s="2"/>
      <c r="CG145" s="2"/>
      <c r="CH145" s="2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 s="3"/>
      <c r="DK145"/>
      <c r="DL145"/>
      <c r="DM145"/>
    </row>
    <row r="146" spans="7:117" s="5" customFormat="1">
      <c r="G146" s="34"/>
      <c r="H146" s="10"/>
      <c r="I146" s="10"/>
      <c r="J146" s="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s="1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W146"/>
      <c r="BX146"/>
      <c r="BY146"/>
      <c r="BZ146"/>
      <c r="CA146"/>
      <c r="CB146"/>
      <c r="CC146"/>
      <c r="CD146"/>
      <c r="CE146" s="2"/>
      <c r="CF146" s="2"/>
      <c r="CG146" s="2"/>
      <c r="CH146" s="2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 s="3"/>
      <c r="DK146"/>
      <c r="DL146"/>
      <c r="DM146"/>
    </row>
    <row r="147" spans="7:117" s="5" customFormat="1">
      <c r="G147" s="34"/>
      <c r="H147" s="10"/>
      <c r="I147" s="10"/>
      <c r="J147" s="6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s="1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W147"/>
      <c r="BX147"/>
      <c r="BY147"/>
      <c r="BZ147"/>
      <c r="CA147"/>
      <c r="CB147"/>
      <c r="CC147"/>
      <c r="CD147"/>
      <c r="CE147" s="2"/>
      <c r="CF147" s="2"/>
      <c r="CG147" s="2"/>
      <c r="CH147" s="2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 s="3"/>
      <c r="DK147"/>
      <c r="DL147"/>
      <c r="DM147"/>
    </row>
    <row r="148" spans="7:117" s="5" customFormat="1">
      <c r="G148" s="34"/>
      <c r="H148" s="10"/>
      <c r="I148" s="10"/>
      <c r="J148" s="6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s="1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W148"/>
      <c r="BX148"/>
      <c r="BY148"/>
      <c r="BZ148"/>
      <c r="CA148"/>
      <c r="CB148"/>
      <c r="CC148"/>
      <c r="CD148"/>
      <c r="CE148" s="2"/>
      <c r="CF148" s="2"/>
      <c r="CG148" s="2"/>
      <c r="CH148" s="2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 s="3"/>
      <c r="DK148"/>
      <c r="DL148"/>
      <c r="DM148"/>
    </row>
    <row r="149" spans="7:117" s="5" customFormat="1">
      <c r="G149" s="34"/>
      <c r="H149" s="10"/>
      <c r="I149" s="10"/>
      <c r="J149" s="6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s="1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W149"/>
      <c r="BX149"/>
      <c r="BY149"/>
      <c r="BZ149"/>
      <c r="CA149"/>
      <c r="CB149"/>
      <c r="CC149"/>
      <c r="CD149"/>
      <c r="CE149" s="2"/>
      <c r="CF149" s="2"/>
      <c r="CG149" s="2"/>
      <c r="CH149" s="2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 s="3"/>
      <c r="DK149"/>
      <c r="DL149"/>
      <c r="DM149"/>
    </row>
    <row r="150" spans="7:117" s="5" customFormat="1">
      <c r="G150" s="34"/>
      <c r="H150" s="10"/>
      <c r="I150" s="10"/>
      <c r="J150" s="6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s="1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W150"/>
      <c r="BX150"/>
      <c r="BY150"/>
      <c r="BZ150"/>
      <c r="CA150"/>
      <c r="CB150"/>
      <c r="CC150"/>
      <c r="CD150"/>
      <c r="CE150" s="2"/>
      <c r="CF150" s="2"/>
      <c r="CG150" s="2"/>
      <c r="CH150" s="2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 s="3"/>
      <c r="DK150"/>
      <c r="DL150"/>
      <c r="DM150"/>
    </row>
    <row r="151" spans="7:117" s="5" customFormat="1">
      <c r="G151" s="34"/>
      <c r="H151" s="10"/>
      <c r="I151" s="10"/>
      <c r="J151" s="6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s="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W151"/>
      <c r="BX151"/>
      <c r="BY151"/>
      <c r="BZ151"/>
      <c r="CA151"/>
      <c r="CB151"/>
      <c r="CC151"/>
      <c r="CD151"/>
      <c r="CE151" s="2"/>
      <c r="CF151" s="2"/>
      <c r="CG151" s="2"/>
      <c r="CH151" s="2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 s="3"/>
      <c r="DK151"/>
      <c r="DL151"/>
      <c r="DM151"/>
    </row>
    <row r="152" spans="7:117" s="5" customFormat="1">
      <c r="G152" s="34"/>
      <c r="H152" s="10"/>
      <c r="I152" s="10"/>
      <c r="J152" s="6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s="1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W152"/>
      <c r="BX152"/>
      <c r="BY152"/>
      <c r="BZ152"/>
      <c r="CA152"/>
      <c r="CB152"/>
      <c r="CC152"/>
      <c r="CD152"/>
      <c r="CE152" s="2"/>
      <c r="CF152" s="2"/>
      <c r="CG152" s="2"/>
      <c r="CH152" s="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 s="3"/>
      <c r="DK152"/>
      <c r="DL152"/>
      <c r="DM152"/>
    </row>
    <row r="153" spans="7:117" s="5" customFormat="1">
      <c r="G153" s="34"/>
      <c r="H153" s="10"/>
      <c r="I153" s="10"/>
      <c r="J153" s="6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s="1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W153"/>
      <c r="BX153"/>
      <c r="BY153"/>
      <c r="BZ153"/>
      <c r="CA153"/>
      <c r="CB153"/>
      <c r="CC153"/>
      <c r="CD153"/>
      <c r="CE153" s="2"/>
      <c r="CF153" s="2"/>
      <c r="CG153" s="2"/>
      <c r="CH153" s="2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 s="3"/>
      <c r="DK153"/>
      <c r="DL153"/>
      <c r="DM153"/>
    </row>
    <row r="154" spans="7:117" s="5" customFormat="1">
      <c r="G154" s="34"/>
      <c r="H154" s="10"/>
      <c r="I154" s="10"/>
      <c r="J154" s="6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s="1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W154"/>
      <c r="BX154"/>
      <c r="BY154"/>
      <c r="BZ154"/>
      <c r="CA154"/>
      <c r="CB154"/>
      <c r="CC154"/>
      <c r="CD154"/>
      <c r="CE154" s="2"/>
      <c r="CF154" s="2"/>
      <c r="CG154" s="2"/>
      <c r="CH154" s="2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 s="3"/>
      <c r="DK154"/>
      <c r="DL154"/>
      <c r="DM154"/>
    </row>
    <row r="155" spans="7:117" s="5" customFormat="1">
      <c r="G155" s="34"/>
      <c r="H155" s="10"/>
      <c r="I155" s="10"/>
      <c r="J155" s="6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s="1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W155"/>
      <c r="BX155"/>
      <c r="BY155"/>
      <c r="BZ155"/>
      <c r="CA155"/>
      <c r="CB155"/>
      <c r="CC155"/>
      <c r="CD155"/>
      <c r="CE155" s="2"/>
      <c r="CF155" s="2"/>
      <c r="CG155" s="2"/>
      <c r="CH155" s="2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 s="3"/>
      <c r="DK155"/>
      <c r="DL155"/>
      <c r="DM155"/>
    </row>
    <row r="156" spans="7:117" s="5" customFormat="1">
      <c r="G156" s="34"/>
      <c r="H156" s="10"/>
      <c r="I156" s="10"/>
      <c r="J156" s="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s="1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W156"/>
      <c r="BX156"/>
      <c r="BY156"/>
      <c r="BZ156"/>
      <c r="CA156"/>
      <c r="CB156"/>
      <c r="CC156"/>
      <c r="CD156"/>
      <c r="CE156" s="2"/>
      <c r="CF156" s="2"/>
      <c r="CG156" s="2"/>
      <c r="CH156" s="2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 s="3"/>
      <c r="DK156"/>
      <c r="DL156"/>
      <c r="DM156"/>
    </row>
    <row r="157" spans="7:117" s="5" customFormat="1">
      <c r="G157" s="34"/>
      <c r="H157" s="10"/>
      <c r="I157" s="10"/>
      <c r="J157" s="6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s="1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W157"/>
      <c r="BX157"/>
      <c r="BY157"/>
      <c r="BZ157"/>
      <c r="CA157"/>
      <c r="CB157"/>
      <c r="CC157"/>
      <c r="CD157"/>
      <c r="CE157" s="2"/>
      <c r="CF157" s="2"/>
      <c r="CG157" s="2"/>
      <c r="CH157" s="2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 s="3"/>
      <c r="DK157"/>
      <c r="DL157"/>
      <c r="DM157"/>
    </row>
    <row r="158" spans="7:117" s="5" customFormat="1">
      <c r="G158" s="34"/>
      <c r="H158" s="10"/>
      <c r="I158" s="10"/>
      <c r="J158" s="6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s="1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W158"/>
      <c r="BX158"/>
      <c r="BY158"/>
      <c r="BZ158"/>
      <c r="CA158"/>
      <c r="CB158"/>
      <c r="CC158"/>
      <c r="CD158"/>
      <c r="CE158" s="2"/>
      <c r="CF158" s="2"/>
      <c r="CG158" s="2"/>
      <c r="CH158" s="2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 s="3"/>
      <c r="DK158"/>
      <c r="DL158"/>
      <c r="DM158"/>
    </row>
    <row r="159" spans="7:117" s="5" customFormat="1">
      <c r="G159" s="34"/>
      <c r="H159" s="10"/>
      <c r="I159" s="10"/>
      <c r="J159" s="6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s="1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W159"/>
      <c r="BX159"/>
      <c r="BY159"/>
      <c r="BZ159"/>
      <c r="CA159"/>
      <c r="CB159"/>
      <c r="CC159"/>
      <c r="CD159"/>
      <c r="CE159" s="2"/>
      <c r="CF159" s="2"/>
      <c r="CG159" s="2"/>
      <c r="CH159" s="2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 s="3"/>
      <c r="DK159"/>
      <c r="DL159"/>
      <c r="DM159"/>
    </row>
    <row r="160" spans="7:117" s="5" customFormat="1">
      <c r="G160" s="34"/>
      <c r="H160" s="10"/>
      <c r="I160" s="10"/>
      <c r="J160" s="6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s="1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W160"/>
      <c r="BX160"/>
      <c r="BY160"/>
      <c r="BZ160"/>
      <c r="CA160"/>
      <c r="CB160"/>
      <c r="CC160"/>
      <c r="CD160"/>
      <c r="CE160" s="2"/>
      <c r="CF160" s="2"/>
      <c r="CG160" s="2"/>
      <c r="CH160" s="2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 s="3"/>
      <c r="DK160"/>
      <c r="DL160"/>
      <c r="DM160"/>
    </row>
    <row r="161" spans="7:117" s="5" customFormat="1">
      <c r="G161" s="34"/>
      <c r="H161" s="10"/>
      <c r="I161" s="10"/>
      <c r="J161" s="6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s="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W161"/>
      <c r="BX161"/>
      <c r="BY161"/>
      <c r="BZ161"/>
      <c r="CA161"/>
      <c r="CB161"/>
      <c r="CC161"/>
      <c r="CD161"/>
      <c r="CE161" s="2"/>
      <c r="CF161" s="2"/>
      <c r="CG161" s="2"/>
      <c r="CH161" s="2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 s="3"/>
      <c r="DK161"/>
      <c r="DL161"/>
      <c r="DM161"/>
    </row>
    <row r="162" spans="7:117" s="5" customFormat="1">
      <c r="G162" s="34"/>
      <c r="H162" s="10"/>
      <c r="I162" s="10"/>
      <c r="J162" s="6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s="1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W162"/>
      <c r="BX162"/>
      <c r="BY162"/>
      <c r="BZ162"/>
      <c r="CA162"/>
      <c r="CB162"/>
      <c r="CC162"/>
      <c r="CD162"/>
      <c r="CE162" s="2"/>
      <c r="CF162" s="2"/>
      <c r="CG162" s="2"/>
      <c r="CH162" s="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 s="3"/>
      <c r="DK162"/>
      <c r="DL162"/>
      <c r="DM162"/>
    </row>
    <row r="163" spans="7:117" s="5" customFormat="1">
      <c r="G163" s="34"/>
      <c r="H163" s="10"/>
      <c r="I163" s="10"/>
      <c r="J163" s="6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s="1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W163"/>
      <c r="BX163"/>
      <c r="BY163"/>
      <c r="BZ163"/>
      <c r="CA163"/>
      <c r="CB163"/>
      <c r="CC163"/>
      <c r="CD163"/>
      <c r="CE163" s="2"/>
      <c r="CF163" s="2"/>
      <c r="CG163" s="2"/>
      <c r="CH163" s="2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 s="3"/>
      <c r="DK163"/>
      <c r="DL163"/>
      <c r="DM163"/>
    </row>
    <row r="164" spans="7:117" s="5" customFormat="1">
      <c r="G164" s="34"/>
      <c r="H164" s="10"/>
      <c r="I164" s="10"/>
      <c r="J164" s="6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s="1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W164"/>
      <c r="BX164"/>
      <c r="BY164"/>
      <c r="BZ164"/>
      <c r="CA164"/>
      <c r="CB164"/>
      <c r="CC164"/>
      <c r="CD164"/>
      <c r="CE164" s="2"/>
      <c r="CF164" s="2"/>
      <c r="CG164" s="2"/>
      <c r="CH164" s="2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 s="3"/>
      <c r="DK164"/>
      <c r="DL164"/>
      <c r="DM164"/>
    </row>
    <row r="165" spans="7:117" s="5" customFormat="1">
      <c r="G165" s="34"/>
      <c r="H165" s="10"/>
      <c r="I165" s="10"/>
      <c r="J165" s="6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s="1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W165"/>
      <c r="BX165"/>
      <c r="BY165"/>
      <c r="BZ165"/>
      <c r="CA165"/>
      <c r="CB165"/>
      <c r="CC165"/>
      <c r="CD165"/>
      <c r="CE165" s="2"/>
      <c r="CF165" s="2"/>
      <c r="CG165" s="2"/>
      <c r="CH165" s="2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 s="3"/>
      <c r="DK165"/>
      <c r="DL165"/>
      <c r="DM165"/>
    </row>
    <row r="166" spans="7:117" s="5" customFormat="1">
      <c r="G166" s="34"/>
      <c r="H166" s="10"/>
      <c r="I166" s="10"/>
      <c r="J166" s="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s="1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W166"/>
      <c r="BX166"/>
      <c r="BY166"/>
      <c r="BZ166"/>
      <c r="CA166"/>
      <c r="CB166"/>
      <c r="CC166"/>
      <c r="CD166"/>
      <c r="CE166" s="2"/>
      <c r="CF166" s="2"/>
      <c r="CG166" s="2"/>
      <c r="CH166" s="2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 s="3"/>
      <c r="DK166"/>
      <c r="DL166"/>
      <c r="DM166"/>
    </row>
    <row r="167" spans="7:117" s="5" customFormat="1">
      <c r="G167" s="34"/>
      <c r="H167" s="10"/>
      <c r="I167" s="10"/>
      <c r="J167" s="6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s="1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W167"/>
      <c r="BX167"/>
      <c r="BY167"/>
      <c r="BZ167"/>
      <c r="CA167"/>
      <c r="CB167"/>
      <c r="CC167"/>
      <c r="CD167"/>
      <c r="CE167" s="2"/>
      <c r="CF167" s="2"/>
      <c r="CG167" s="2"/>
      <c r="CH167" s="2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 s="3"/>
      <c r="DK167"/>
      <c r="DL167"/>
      <c r="DM167"/>
    </row>
    <row r="168" spans="7:117" s="5" customFormat="1">
      <c r="G168" s="34"/>
      <c r="H168" s="10"/>
      <c r="I168" s="10"/>
      <c r="J168" s="6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s="1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W168"/>
      <c r="BX168"/>
      <c r="BY168"/>
      <c r="BZ168"/>
      <c r="CA168"/>
      <c r="CB168"/>
      <c r="CC168"/>
      <c r="CD168"/>
      <c r="CE168" s="2"/>
      <c r="CF168" s="2"/>
      <c r="CG168" s="2"/>
      <c r="CH168" s="2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 s="3"/>
      <c r="DK168"/>
      <c r="DL168"/>
      <c r="DM168"/>
    </row>
    <row r="169" spans="7:117" s="5" customFormat="1">
      <c r="G169" s="34"/>
      <c r="H169" s="10"/>
      <c r="I169" s="10"/>
      <c r="J169" s="6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s="1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W169"/>
      <c r="BX169"/>
      <c r="BY169"/>
      <c r="BZ169"/>
      <c r="CA169"/>
      <c r="CB169"/>
      <c r="CC169"/>
      <c r="CD169"/>
      <c r="CE169" s="2"/>
      <c r="CF169" s="2"/>
      <c r="CG169" s="2"/>
      <c r="CH169" s="2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 s="3"/>
      <c r="DK169"/>
      <c r="DL169"/>
      <c r="DM169"/>
    </row>
    <row r="170" spans="7:117" s="5" customFormat="1">
      <c r="G170" s="34"/>
      <c r="H170" s="10"/>
      <c r="I170" s="10"/>
      <c r="J170" s="6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s="1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W170"/>
      <c r="BX170"/>
      <c r="BY170"/>
      <c r="BZ170"/>
      <c r="CA170"/>
      <c r="CB170"/>
      <c r="CC170"/>
      <c r="CD170"/>
      <c r="CE170" s="2"/>
      <c r="CF170" s="2"/>
      <c r="CG170" s="2"/>
      <c r="CH170" s="2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 s="3"/>
      <c r="DK170"/>
      <c r="DL170"/>
      <c r="DM170"/>
    </row>
    <row r="171" spans="7:117" s="5" customFormat="1">
      <c r="G171" s="34"/>
      <c r="H171" s="10"/>
      <c r="I171" s="10"/>
      <c r="J171" s="6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s="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W171"/>
      <c r="BX171"/>
      <c r="BY171"/>
      <c r="BZ171"/>
      <c r="CA171"/>
      <c r="CB171"/>
      <c r="CC171"/>
      <c r="CD171"/>
      <c r="CE171" s="2"/>
      <c r="CF171" s="2"/>
      <c r="CG171" s="2"/>
      <c r="CH171" s="2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 s="3"/>
      <c r="DK171"/>
      <c r="DL171"/>
      <c r="DM171"/>
    </row>
    <row r="172" spans="7:117" s="5" customFormat="1">
      <c r="G172" s="34"/>
      <c r="H172" s="10"/>
      <c r="I172" s="10"/>
      <c r="J172" s="6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s="1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W172"/>
      <c r="BX172"/>
      <c r="BY172"/>
      <c r="BZ172"/>
      <c r="CA172"/>
      <c r="CB172"/>
      <c r="CC172"/>
      <c r="CD172"/>
      <c r="CE172" s="2"/>
      <c r="CF172" s="2"/>
      <c r="CG172" s="2"/>
      <c r="CH172" s="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 s="3"/>
      <c r="DK172"/>
      <c r="DL172"/>
      <c r="DM172"/>
    </row>
    <row r="173" spans="7:117" s="5" customFormat="1">
      <c r="G173" s="34"/>
      <c r="H173" s="10"/>
      <c r="I173" s="10"/>
      <c r="J173" s="6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s="1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W173"/>
      <c r="BX173"/>
      <c r="BY173"/>
      <c r="BZ173"/>
      <c r="CA173"/>
      <c r="CB173"/>
      <c r="CC173"/>
      <c r="CD173"/>
      <c r="CE173" s="2"/>
      <c r="CF173" s="2"/>
      <c r="CG173" s="2"/>
      <c r="CH173" s="2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 s="3"/>
      <c r="DK173"/>
      <c r="DL173"/>
      <c r="DM173"/>
    </row>
    <row r="174" spans="7:117" s="5" customFormat="1">
      <c r="G174" s="34"/>
      <c r="H174" s="10"/>
      <c r="I174" s="10"/>
      <c r="J174" s="6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s="1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W174"/>
      <c r="BX174"/>
      <c r="BY174"/>
      <c r="BZ174"/>
      <c r="CA174"/>
      <c r="CB174"/>
      <c r="CC174"/>
      <c r="CD174"/>
      <c r="CE174" s="2"/>
      <c r="CF174" s="2"/>
      <c r="CG174" s="2"/>
      <c r="CH174" s="2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 s="3"/>
      <c r="DK174"/>
      <c r="DL174"/>
      <c r="DM174"/>
    </row>
    <row r="175" spans="7:117" s="5" customFormat="1">
      <c r="G175" s="34"/>
      <c r="H175" s="10"/>
      <c r="I175" s="10"/>
      <c r="J175" s="6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s="1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W175"/>
      <c r="BX175"/>
      <c r="BY175"/>
      <c r="BZ175"/>
      <c r="CA175"/>
      <c r="CB175"/>
      <c r="CC175"/>
      <c r="CD175"/>
      <c r="CE175" s="2"/>
      <c r="CF175" s="2"/>
      <c r="CG175" s="2"/>
      <c r="CH175" s="2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 s="3"/>
      <c r="DK175"/>
      <c r="DL175"/>
      <c r="DM175"/>
    </row>
    <row r="176" spans="7:117" s="5" customFormat="1">
      <c r="G176" s="34"/>
      <c r="H176" s="10"/>
      <c r="I176" s="10"/>
      <c r="J176" s="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s="1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W176"/>
      <c r="BX176"/>
      <c r="BY176"/>
      <c r="BZ176"/>
      <c r="CA176"/>
      <c r="CB176"/>
      <c r="CC176"/>
      <c r="CD176"/>
      <c r="CE176" s="2"/>
      <c r="CF176" s="2"/>
      <c r="CG176" s="2"/>
      <c r="CH176" s="2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 s="3"/>
      <c r="DK176"/>
      <c r="DL176"/>
      <c r="DM176"/>
    </row>
    <row r="177" spans="7:117" s="5" customFormat="1">
      <c r="G177" s="34"/>
      <c r="H177" s="10"/>
      <c r="I177" s="10"/>
      <c r="J177" s="6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s="1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W177"/>
      <c r="BX177"/>
      <c r="BY177"/>
      <c r="BZ177"/>
      <c r="CA177"/>
      <c r="CB177"/>
      <c r="CC177"/>
      <c r="CD177"/>
      <c r="CE177" s="2"/>
      <c r="CF177" s="2"/>
      <c r="CG177" s="2"/>
      <c r="CH177" s="2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 s="3"/>
      <c r="DK177"/>
      <c r="DL177"/>
      <c r="DM177"/>
    </row>
    <row r="178" spans="7:117" s="5" customFormat="1">
      <c r="G178" s="34"/>
      <c r="H178" s="10"/>
      <c r="I178" s="10"/>
      <c r="J178" s="6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s="1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W178"/>
      <c r="BX178"/>
      <c r="BY178"/>
      <c r="BZ178"/>
      <c r="CA178"/>
      <c r="CB178"/>
      <c r="CC178"/>
      <c r="CD178"/>
      <c r="CE178" s="2"/>
      <c r="CF178" s="2"/>
      <c r="CG178" s="2"/>
      <c r="CH178" s="2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 s="3"/>
      <c r="DK178"/>
      <c r="DL178"/>
      <c r="DM178"/>
    </row>
    <row r="179" spans="7:117" s="5" customFormat="1">
      <c r="G179" s="34"/>
      <c r="H179" s="10"/>
      <c r="I179" s="10"/>
      <c r="J179" s="6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s="1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W179"/>
      <c r="BX179"/>
      <c r="BY179"/>
      <c r="BZ179"/>
      <c r="CA179"/>
      <c r="CB179"/>
      <c r="CC179"/>
      <c r="CD179"/>
      <c r="CE179" s="2"/>
      <c r="CF179" s="2"/>
      <c r="CG179" s="2"/>
      <c r="CH179" s="2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 s="3"/>
      <c r="DK179"/>
      <c r="DL179"/>
      <c r="DM179"/>
    </row>
    <row r="180" spans="7:117" s="5" customFormat="1">
      <c r="G180" s="34"/>
      <c r="H180" s="10"/>
      <c r="I180" s="10"/>
      <c r="J180" s="6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s="1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W180"/>
      <c r="BX180"/>
      <c r="BY180"/>
      <c r="BZ180"/>
      <c r="CA180"/>
      <c r="CB180"/>
      <c r="CC180"/>
      <c r="CD180"/>
      <c r="CE180" s="2"/>
      <c r="CF180" s="2"/>
      <c r="CG180" s="2"/>
      <c r="CH180" s="2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 s="3"/>
      <c r="DK180"/>
      <c r="DL180"/>
      <c r="DM180"/>
    </row>
    <row r="181" spans="7:117" s="5" customFormat="1">
      <c r="G181" s="34"/>
      <c r="H181" s="10"/>
      <c r="I181" s="10"/>
      <c r="J181" s="6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s="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W181"/>
      <c r="BX181"/>
      <c r="BY181"/>
      <c r="BZ181"/>
      <c r="CA181"/>
      <c r="CB181"/>
      <c r="CC181"/>
      <c r="CD181"/>
      <c r="CE181" s="2"/>
      <c r="CF181" s="2"/>
      <c r="CG181" s="2"/>
      <c r="CH181" s="2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 s="3"/>
      <c r="DK181"/>
      <c r="DL181"/>
      <c r="DM181"/>
    </row>
    <row r="182" spans="7:117" s="5" customFormat="1">
      <c r="G182" s="34"/>
      <c r="H182" s="10"/>
      <c r="I182" s="10"/>
      <c r="J182" s="6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s="1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W182"/>
      <c r="BX182"/>
      <c r="BY182"/>
      <c r="BZ182"/>
      <c r="CA182"/>
      <c r="CB182"/>
      <c r="CC182"/>
      <c r="CD182"/>
      <c r="CE182" s="2"/>
      <c r="CF182" s="2"/>
      <c r="CG182" s="2"/>
      <c r="CH182" s="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 s="3"/>
      <c r="DK182"/>
      <c r="DL182"/>
      <c r="DM182"/>
    </row>
    <row r="183" spans="7:117" s="5" customFormat="1">
      <c r="G183" s="34"/>
      <c r="H183" s="10"/>
      <c r="I183" s="10"/>
      <c r="J183" s="6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s="1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W183"/>
      <c r="BX183"/>
      <c r="BY183"/>
      <c r="BZ183"/>
      <c r="CA183"/>
      <c r="CB183"/>
      <c r="CC183"/>
      <c r="CD183"/>
      <c r="CE183" s="2"/>
      <c r="CF183" s="2"/>
      <c r="CG183" s="2"/>
      <c r="CH183" s="2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 s="3"/>
      <c r="DK183"/>
      <c r="DL183"/>
      <c r="DM183"/>
    </row>
    <row r="184" spans="7:117" s="5" customFormat="1">
      <c r="G184" s="34"/>
      <c r="H184" s="10"/>
      <c r="I184" s="10"/>
      <c r="J184" s="6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s="1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W184"/>
      <c r="BX184"/>
      <c r="BY184"/>
      <c r="BZ184"/>
      <c r="CA184"/>
      <c r="CB184"/>
      <c r="CC184"/>
      <c r="CD184"/>
      <c r="CE184" s="2"/>
      <c r="CF184" s="2"/>
      <c r="CG184" s="2"/>
      <c r="CH184" s="2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 s="3"/>
      <c r="DK184"/>
      <c r="DL184"/>
      <c r="DM184"/>
    </row>
    <row r="185" spans="7:117" s="5" customFormat="1">
      <c r="G185" s="34"/>
      <c r="H185" s="10"/>
      <c r="I185" s="10"/>
      <c r="J185" s="6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s="1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W185"/>
      <c r="BX185"/>
      <c r="BY185"/>
      <c r="BZ185"/>
      <c r="CA185"/>
      <c r="CB185"/>
      <c r="CC185"/>
      <c r="CD185"/>
      <c r="CE185" s="2"/>
      <c r="CF185" s="2"/>
      <c r="CG185" s="2"/>
      <c r="CH185" s="2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 s="3"/>
      <c r="DK185"/>
      <c r="DL185"/>
      <c r="DM185"/>
    </row>
    <row r="186" spans="7:117" s="5" customFormat="1">
      <c r="G186" s="34"/>
      <c r="H186" s="10"/>
      <c r="I186" s="10"/>
      <c r="J186" s="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s="1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W186"/>
      <c r="BX186"/>
      <c r="BY186"/>
      <c r="BZ186"/>
      <c r="CA186"/>
      <c r="CB186"/>
      <c r="CC186"/>
      <c r="CD186"/>
      <c r="CE186" s="2"/>
      <c r="CF186" s="2"/>
      <c r="CG186" s="2"/>
      <c r="CH186" s="2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 s="3"/>
      <c r="DK186"/>
      <c r="DL186"/>
      <c r="DM186"/>
    </row>
    <row r="187" spans="7:117" s="5" customFormat="1">
      <c r="G187" s="34"/>
      <c r="H187" s="10"/>
      <c r="I187" s="10"/>
      <c r="J187" s="6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s="1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W187"/>
      <c r="BX187"/>
      <c r="BY187"/>
      <c r="BZ187"/>
      <c r="CA187"/>
      <c r="CB187"/>
      <c r="CC187"/>
      <c r="CD187"/>
      <c r="CE187" s="2"/>
      <c r="CF187" s="2"/>
      <c r="CG187" s="2"/>
      <c r="CH187" s="2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 s="3"/>
      <c r="DK187"/>
      <c r="DL187"/>
      <c r="DM187"/>
    </row>
    <row r="188" spans="7:117" s="5" customFormat="1">
      <c r="G188" s="34"/>
      <c r="H188" s="10"/>
      <c r="I188" s="10"/>
      <c r="J188" s="6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s="1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W188"/>
      <c r="BX188"/>
      <c r="BY188"/>
      <c r="BZ188"/>
      <c r="CA188"/>
      <c r="CB188"/>
      <c r="CC188"/>
      <c r="CD188"/>
      <c r="CE188" s="2"/>
      <c r="CF188" s="2"/>
      <c r="CG188" s="2"/>
      <c r="CH188" s="2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 s="3"/>
      <c r="DK188"/>
      <c r="DL188"/>
      <c r="DM188"/>
    </row>
    <row r="189" spans="7:117" s="5" customFormat="1">
      <c r="G189" s="34"/>
      <c r="H189" s="10"/>
      <c r="I189" s="10"/>
      <c r="J189" s="6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s="1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W189"/>
      <c r="BX189"/>
      <c r="BY189"/>
      <c r="BZ189"/>
      <c r="CA189"/>
      <c r="CB189"/>
      <c r="CC189"/>
      <c r="CD189"/>
      <c r="CE189" s="2"/>
      <c r="CF189" s="2"/>
      <c r="CG189" s="2"/>
      <c r="CH189" s="2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 s="3"/>
      <c r="DK189"/>
      <c r="DL189"/>
      <c r="DM189"/>
    </row>
    <row r="190" spans="7:117" s="5" customFormat="1">
      <c r="G190" s="34"/>
      <c r="H190" s="10"/>
      <c r="I190" s="10"/>
      <c r="J190" s="6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s="1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W190"/>
      <c r="BX190"/>
      <c r="BY190"/>
      <c r="BZ190"/>
      <c r="CA190"/>
      <c r="CB190"/>
      <c r="CC190"/>
      <c r="CD190"/>
      <c r="CE190" s="2"/>
      <c r="CF190" s="2"/>
      <c r="CG190" s="2"/>
      <c r="CH190" s="2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 s="3"/>
      <c r="DK190"/>
      <c r="DL190"/>
      <c r="DM190"/>
    </row>
    <row r="191" spans="7:117" s="5" customFormat="1">
      <c r="G191" s="34"/>
      <c r="H191" s="10"/>
      <c r="I191" s="10"/>
      <c r="J191" s="6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s="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W191"/>
      <c r="BX191"/>
      <c r="BY191"/>
      <c r="BZ191"/>
      <c r="CA191"/>
      <c r="CB191"/>
      <c r="CC191"/>
      <c r="CD191"/>
      <c r="CE191" s="2"/>
      <c r="CF191" s="2"/>
      <c r="CG191" s="2"/>
      <c r="CH191" s="2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 s="3"/>
      <c r="DK191"/>
      <c r="DL191"/>
      <c r="DM191"/>
    </row>
    <row r="192" spans="7:117" s="5" customFormat="1">
      <c r="G192" s="34"/>
      <c r="H192" s="10"/>
      <c r="I192" s="10"/>
      <c r="J192" s="6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s="1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W192"/>
      <c r="BX192"/>
      <c r="BY192"/>
      <c r="BZ192"/>
      <c r="CA192"/>
      <c r="CB192"/>
      <c r="CC192"/>
      <c r="CD192"/>
      <c r="CE192" s="2"/>
      <c r="CF192" s="2"/>
      <c r="CG192" s="2"/>
      <c r="CH192" s="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 s="3"/>
      <c r="DK192"/>
      <c r="DL192"/>
      <c r="DM192"/>
    </row>
    <row r="193" spans="7:117" s="5" customFormat="1">
      <c r="G193" s="34"/>
      <c r="H193" s="10"/>
      <c r="I193" s="10"/>
      <c r="J193" s="6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s="1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W193"/>
      <c r="BX193"/>
      <c r="BY193"/>
      <c r="BZ193"/>
      <c r="CA193"/>
      <c r="CB193"/>
      <c r="CC193"/>
      <c r="CD193"/>
      <c r="CE193" s="2"/>
      <c r="CF193" s="2"/>
      <c r="CG193" s="2"/>
      <c r="CH193" s="2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 s="3"/>
      <c r="DK193"/>
      <c r="DL193"/>
      <c r="DM193"/>
    </row>
    <row r="194" spans="7:117" s="5" customFormat="1">
      <c r="G194" s="34"/>
      <c r="H194" s="10"/>
      <c r="I194" s="10"/>
      <c r="J194" s="6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s="1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W194"/>
      <c r="BX194"/>
      <c r="BY194"/>
      <c r="BZ194"/>
      <c r="CA194"/>
      <c r="CB194"/>
      <c r="CC194"/>
      <c r="CD194"/>
      <c r="CE194" s="2"/>
      <c r="CF194" s="2"/>
      <c r="CG194" s="2"/>
      <c r="CH194" s="2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 s="3"/>
      <c r="DK194"/>
      <c r="DL194"/>
      <c r="DM194"/>
    </row>
    <row r="195" spans="7:117" s="5" customFormat="1">
      <c r="G195" s="34"/>
      <c r="H195" s="10"/>
      <c r="I195" s="10"/>
      <c r="J195" s="6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s="1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W195"/>
      <c r="BX195"/>
      <c r="BY195"/>
      <c r="BZ195"/>
      <c r="CA195"/>
      <c r="CB195"/>
      <c r="CC195"/>
      <c r="CD195"/>
      <c r="CE195" s="2"/>
      <c r="CF195" s="2"/>
      <c r="CG195" s="2"/>
      <c r="CH195" s="2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 s="3"/>
      <c r="DK195"/>
      <c r="DL195"/>
      <c r="DM195"/>
    </row>
    <row r="196" spans="7:117" s="5" customFormat="1">
      <c r="G196" s="34"/>
      <c r="H196" s="10"/>
      <c r="I196" s="10"/>
      <c r="J196" s="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s="1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W196"/>
      <c r="BX196"/>
      <c r="BY196"/>
      <c r="BZ196"/>
      <c r="CA196"/>
      <c r="CB196"/>
      <c r="CC196"/>
      <c r="CD196"/>
      <c r="CE196" s="2"/>
      <c r="CF196" s="2"/>
      <c r="CG196" s="2"/>
      <c r="CH196" s="2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 s="3"/>
      <c r="DK196"/>
      <c r="DL196"/>
      <c r="DM196"/>
    </row>
    <row r="197" spans="7:117" s="5" customFormat="1">
      <c r="G197" s="34"/>
      <c r="H197" s="10"/>
      <c r="I197" s="10"/>
      <c r="J197" s="6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s="1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W197"/>
      <c r="BX197"/>
      <c r="BY197"/>
      <c r="BZ197"/>
      <c r="CA197"/>
      <c r="CB197"/>
      <c r="CC197"/>
      <c r="CD197"/>
      <c r="CE197" s="2"/>
      <c r="CF197" s="2"/>
      <c r="CG197" s="2"/>
      <c r="CH197" s="2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 s="3"/>
      <c r="DK197"/>
      <c r="DL197"/>
      <c r="DM197"/>
    </row>
    <row r="198" spans="7:117" s="5" customFormat="1">
      <c r="G198" s="34"/>
      <c r="H198" s="10"/>
      <c r="I198" s="10"/>
      <c r="J198" s="6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s="1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W198"/>
      <c r="BX198"/>
      <c r="BY198"/>
      <c r="BZ198"/>
      <c r="CA198"/>
      <c r="CB198"/>
      <c r="CC198"/>
      <c r="CD198"/>
      <c r="CE198" s="2"/>
      <c r="CF198" s="2"/>
      <c r="CG198" s="2"/>
      <c r="CH198" s="2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 s="3"/>
      <c r="DK198"/>
      <c r="DL198"/>
      <c r="DM198"/>
    </row>
    <row r="199" spans="7:117" s="5" customFormat="1">
      <c r="G199" s="34"/>
      <c r="H199" s="10"/>
      <c r="I199" s="10"/>
      <c r="J199" s="6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s="1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W199"/>
      <c r="BX199"/>
      <c r="BY199"/>
      <c r="BZ199"/>
      <c r="CA199"/>
      <c r="CB199"/>
      <c r="CC199"/>
      <c r="CD199"/>
      <c r="CE199" s="2"/>
      <c r="CF199" s="2"/>
      <c r="CG199" s="2"/>
      <c r="CH199" s="2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 s="3"/>
      <c r="DK199"/>
      <c r="DL199"/>
      <c r="DM199"/>
    </row>
    <row r="200" spans="7:117" s="5" customFormat="1">
      <c r="G200" s="34"/>
      <c r="H200" s="10"/>
      <c r="I200" s="10"/>
      <c r="J200" s="6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s="1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W200"/>
      <c r="BX200"/>
      <c r="BY200"/>
      <c r="BZ200"/>
      <c r="CA200"/>
      <c r="CB200"/>
      <c r="CC200"/>
      <c r="CD200"/>
      <c r="CE200" s="2"/>
      <c r="CF200" s="2"/>
      <c r="CG200" s="2"/>
      <c r="CH200" s="2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 s="3"/>
      <c r="DK200"/>
      <c r="DL200"/>
      <c r="DM200"/>
    </row>
    <row r="201" spans="7:117" s="5" customFormat="1">
      <c r="G201" s="34"/>
      <c r="H201" s="10"/>
      <c r="I201" s="10"/>
      <c r="J201" s="6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s="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W201"/>
      <c r="BX201"/>
      <c r="BY201"/>
      <c r="BZ201"/>
      <c r="CA201"/>
      <c r="CB201"/>
      <c r="CC201"/>
      <c r="CD201"/>
      <c r="CE201" s="2"/>
      <c r="CF201" s="2"/>
      <c r="CG201" s="2"/>
      <c r="CH201" s="2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 s="3"/>
      <c r="DK201"/>
      <c r="DL201"/>
      <c r="DM201"/>
    </row>
    <row r="202" spans="7:117" s="5" customFormat="1">
      <c r="G202" s="34"/>
      <c r="H202" s="10"/>
      <c r="I202" s="10"/>
      <c r="J202" s="6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s="1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W202"/>
      <c r="BX202"/>
      <c r="BY202"/>
      <c r="BZ202"/>
      <c r="CA202"/>
      <c r="CB202"/>
      <c r="CC202"/>
      <c r="CD202"/>
      <c r="CE202" s="2"/>
      <c r="CF202" s="2"/>
      <c r="CG202" s="2"/>
      <c r="CH202" s="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 s="3"/>
      <c r="DK202"/>
      <c r="DL202"/>
      <c r="DM202"/>
    </row>
    <row r="203" spans="7:117" s="5" customFormat="1">
      <c r="G203" s="34"/>
      <c r="H203" s="10"/>
      <c r="I203" s="10"/>
      <c r="J203" s="6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s="1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W203"/>
      <c r="BX203"/>
      <c r="BY203"/>
      <c r="BZ203"/>
      <c r="CA203"/>
      <c r="CB203"/>
      <c r="CC203"/>
      <c r="CD203"/>
      <c r="CE203" s="2"/>
      <c r="CF203" s="2"/>
      <c r="CG203" s="2"/>
      <c r="CH203" s="2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 s="3"/>
      <c r="DK203"/>
      <c r="DL203"/>
      <c r="DM203"/>
    </row>
    <row r="204" spans="7:117" s="5" customFormat="1">
      <c r="G204" s="34"/>
      <c r="H204" s="10"/>
      <c r="I204" s="10"/>
      <c r="J204" s="6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s="1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W204"/>
      <c r="BX204"/>
      <c r="BY204"/>
      <c r="BZ204"/>
      <c r="CA204"/>
      <c r="CB204"/>
      <c r="CC204"/>
      <c r="CD204"/>
      <c r="CE204" s="2"/>
      <c r="CF204" s="2"/>
      <c r="CG204" s="2"/>
      <c r="CH204" s="2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 s="3"/>
      <c r="DK204"/>
      <c r="DL204"/>
      <c r="DM204"/>
    </row>
    <row r="205" spans="7:117" s="5" customFormat="1">
      <c r="G205" s="34"/>
      <c r="H205" s="10"/>
      <c r="I205" s="10"/>
      <c r="J205" s="6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s="1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W205"/>
      <c r="BX205"/>
      <c r="BY205"/>
      <c r="BZ205"/>
      <c r="CA205"/>
      <c r="CB205"/>
      <c r="CC205"/>
      <c r="CD205"/>
      <c r="CE205" s="2"/>
      <c r="CF205" s="2"/>
      <c r="CG205" s="2"/>
      <c r="CH205" s="2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 s="3"/>
      <c r="DK205"/>
      <c r="DL205"/>
      <c r="DM205"/>
    </row>
    <row r="206" spans="7:117" s="5" customFormat="1">
      <c r="G206" s="34"/>
      <c r="H206" s="10"/>
      <c r="I206" s="10"/>
      <c r="J206" s="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s="1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W206"/>
      <c r="BX206"/>
      <c r="BY206"/>
      <c r="BZ206"/>
      <c r="CA206"/>
      <c r="CB206"/>
      <c r="CC206"/>
      <c r="CD206"/>
      <c r="CE206" s="2"/>
      <c r="CF206" s="2"/>
      <c r="CG206" s="2"/>
      <c r="CH206" s="2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 s="3"/>
      <c r="DK206"/>
      <c r="DL206"/>
      <c r="DM206"/>
    </row>
    <row r="207" spans="7:117" s="5" customFormat="1">
      <c r="G207" s="34"/>
      <c r="H207" s="10"/>
      <c r="I207" s="10"/>
      <c r="J207" s="6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s="1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W207"/>
      <c r="BX207"/>
      <c r="BY207"/>
      <c r="BZ207"/>
      <c r="CA207"/>
      <c r="CB207"/>
      <c r="CC207"/>
      <c r="CD207"/>
      <c r="CE207" s="2"/>
      <c r="CF207" s="2"/>
      <c r="CG207" s="2"/>
      <c r="CH207" s="2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 s="3"/>
      <c r="DK207"/>
      <c r="DL207"/>
      <c r="DM207"/>
    </row>
    <row r="208" spans="7:117" s="5" customFormat="1">
      <c r="G208" s="34"/>
      <c r="H208" s="10"/>
      <c r="I208" s="10"/>
      <c r="J208" s="6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s="1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W208"/>
      <c r="BX208"/>
      <c r="BY208"/>
      <c r="BZ208"/>
      <c r="CA208"/>
      <c r="CB208"/>
      <c r="CC208"/>
      <c r="CD208"/>
      <c r="CE208" s="2"/>
      <c r="CF208" s="2"/>
      <c r="CG208" s="2"/>
      <c r="CH208" s="2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 s="3"/>
      <c r="DK208"/>
      <c r="DL208"/>
      <c r="DM208"/>
    </row>
    <row r="209" spans="7:117" s="5" customFormat="1">
      <c r="G209" s="34"/>
      <c r="H209" s="10"/>
      <c r="I209" s="10"/>
      <c r="J209" s="6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s="1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W209"/>
      <c r="BX209"/>
      <c r="BY209"/>
      <c r="BZ209"/>
      <c r="CA209"/>
      <c r="CB209"/>
      <c r="CC209"/>
      <c r="CD209"/>
      <c r="CE209" s="2"/>
      <c r="CF209" s="2"/>
      <c r="CG209" s="2"/>
      <c r="CH209" s="2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 s="3"/>
      <c r="DK209"/>
      <c r="DL209"/>
      <c r="DM209"/>
    </row>
    <row r="210" spans="7:117" s="5" customFormat="1">
      <c r="G210" s="34"/>
      <c r="H210" s="10"/>
      <c r="I210" s="10"/>
      <c r="J210" s="6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s="1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W210"/>
      <c r="BX210"/>
      <c r="BY210"/>
      <c r="BZ210"/>
      <c r="CA210"/>
      <c r="CB210"/>
      <c r="CC210"/>
      <c r="CD210"/>
      <c r="CE210" s="2"/>
      <c r="CF210" s="2"/>
      <c r="CG210" s="2"/>
      <c r="CH210" s="2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 s="3"/>
      <c r="DK210"/>
      <c r="DL210"/>
      <c r="DM210"/>
    </row>
    <row r="211" spans="7:117" s="5" customFormat="1">
      <c r="G211" s="34"/>
      <c r="H211" s="10"/>
      <c r="I211" s="10"/>
      <c r="J211" s="6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s="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W211"/>
      <c r="BX211"/>
      <c r="BY211"/>
      <c r="BZ211"/>
      <c r="CA211"/>
      <c r="CB211"/>
      <c r="CC211"/>
      <c r="CD211"/>
      <c r="CE211" s="2"/>
      <c r="CF211" s="2"/>
      <c r="CG211" s="2"/>
      <c r="CH211" s="2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 s="3"/>
      <c r="DK211"/>
      <c r="DL211"/>
      <c r="DM211"/>
    </row>
    <row r="212" spans="7:117" s="5" customFormat="1">
      <c r="G212" s="34"/>
      <c r="H212" s="10"/>
      <c r="I212" s="10"/>
      <c r="J212" s="6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s="1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W212"/>
      <c r="BX212"/>
      <c r="BY212"/>
      <c r="BZ212"/>
      <c r="CA212"/>
      <c r="CB212"/>
      <c r="CC212"/>
      <c r="CD212"/>
      <c r="CE212" s="2"/>
      <c r="CF212" s="2"/>
      <c r="CG212" s="2"/>
      <c r="CH212" s="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 s="3"/>
      <c r="DK212"/>
      <c r="DL212"/>
      <c r="DM212"/>
    </row>
    <row r="213" spans="7:117" s="5" customFormat="1">
      <c r="G213" s="34"/>
      <c r="H213" s="10"/>
      <c r="I213" s="10"/>
      <c r="J213" s="6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s="1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W213"/>
      <c r="BX213"/>
      <c r="BY213"/>
      <c r="BZ213"/>
      <c r="CA213"/>
      <c r="CB213"/>
      <c r="CC213"/>
      <c r="CD213"/>
      <c r="CE213" s="2"/>
      <c r="CF213" s="2"/>
      <c r="CG213" s="2"/>
      <c r="CH213" s="2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 s="3"/>
      <c r="DK213"/>
      <c r="DL213"/>
      <c r="DM213"/>
    </row>
    <row r="214" spans="7:117" s="5" customFormat="1">
      <c r="G214" s="34"/>
      <c r="H214" s="10"/>
      <c r="I214" s="10"/>
      <c r="J214" s="6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s="1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W214"/>
      <c r="BX214"/>
      <c r="BY214"/>
      <c r="BZ214"/>
      <c r="CA214"/>
      <c r="CB214"/>
      <c r="CC214"/>
      <c r="CD214"/>
      <c r="CE214" s="2"/>
      <c r="CF214" s="2"/>
      <c r="CG214" s="2"/>
      <c r="CH214" s="2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 s="3"/>
      <c r="DK214"/>
      <c r="DL214"/>
      <c r="DM214"/>
    </row>
    <row r="215" spans="7:117" s="5" customFormat="1">
      <c r="G215" s="34"/>
      <c r="H215" s="10"/>
      <c r="I215" s="10"/>
      <c r="J215" s="6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s="1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W215"/>
      <c r="BX215"/>
      <c r="BY215"/>
      <c r="BZ215"/>
      <c r="CA215"/>
      <c r="CB215"/>
      <c r="CC215"/>
      <c r="CD215"/>
      <c r="CE215" s="2"/>
      <c r="CF215" s="2"/>
      <c r="CG215" s="2"/>
      <c r="CH215" s="2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 s="3"/>
      <c r="DK215"/>
      <c r="DL215"/>
      <c r="DM215"/>
    </row>
    <row r="216" spans="7:117" s="5" customFormat="1">
      <c r="G216" s="34"/>
      <c r="H216" s="10"/>
      <c r="I216" s="10"/>
      <c r="J216" s="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s="1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W216"/>
      <c r="BX216"/>
      <c r="BY216"/>
      <c r="BZ216"/>
      <c r="CA216"/>
      <c r="CB216"/>
      <c r="CC216"/>
      <c r="CD216"/>
      <c r="CE216" s="2"/>
      <c r="CF216" s="2"/>
      <c r="CG216" s="2"/>
      <c r="CH216" s="2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 s="3"/>
      <c r="DK216"/>
      <c r="DL216"/>
      <c r="DM216"/>
    </row>
    <row r="217" spans="7:117" s="5" customFormat="1">
      <c r="G217" s="34"/>
      <c r="H217" s="10"/>
      <c r="I217" s="10"/>
      <c r="J217" s="6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s="1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W217"/>
      <c r="BX217"/>
      <c r="BY217"/>
      <c r="BZ217"/>
      <c r="CA217"/>
      <c r="CB217"/>
      <c r="CC217"/>
      <c r="CD217"/>
      <c r="CE217" s="2"/>
      <c r="CF217" s="2"/>
      <c r="CG217" s="2"/>
      <c r="CH217" s="2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 s="3"/>
      <c r="DK217"/>
      <c r="DL217"/>
      <c r="DM217"/>
    </row>
    <row r="218" spans="7:117" s="5" customFormat="1">
      <c r="G218" s="34"/>
      <c r="H218" s="10"/>
      <c r="I218" s="10"/>
      <c r="J218" s="6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s="1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W218"/>
      <c r="BX218"/>
      <c r="BY218"/>
      <c r="BZ218"/>
      <c r="CA218"/>
      <c r="CB218"/>
      <c r="CC218"/>
      <c r="CD218"/>
      <c r="CE218" s="2"/>
      <c r="CF218" s="2"/>
      <c r="CG218" s="2"/>
      <c r="CH218" s="2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 s="3"/>
      <c r="DK218"/>
      <c r="DL218"/>
      <c r="DM218"/>
    </row>
    <row r="219" spans="7:117" s="5" customFormat="1">
      <c r="G219" s="34"/>
      <c r="H219" s="10"/>
      <c r="I219" s="10"/>
      <c r="J219" s="6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s="1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W219"/>
      <c r="BX219"/>
      <c r="BY219"/>
      <c r="BZ219"/>
      <c r="CA219"/>
      <c r="CB219"/>
      <c r="CC219"/>
      <c r="CD219"/>
      <c r="CE219" s="2"/>
      <c r="CF219" s="2"/>
      <c r="CG219" s="2"/>
      <c r="CH219" s="2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 s="3"/>
      <c r="DK219"/>
      <c r="DL219"/>
      <c r="DM219"/>
    </row>
    <row r="220" spans="7:117" s="5" customFormat="1">
      <c r="G220" s="34"/>
      <c r="H220" s="10"/>
      <c r="I220" s="10"/>
      <c r="J220" s="6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s="1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W220"/>
      <c r="BX220"/>
      <c r="BY220"/>
      <c r="BZ220"/>
      <c r="CA220"/>
      <c r="CB220"/>
      <c r="CC220"/>
      <c r="CD220"/>
      <c r="CE220" s="2"/>
      <c r="CF220" s="2"/>
      <c r="CG220" s="2"/>
      <c r="CH220" s="2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 s="3"/>
      <c r="DK220"/>
      <c r="DL220"/>
      <c r="DM220"/>
    </row>
    <row r="221" spans="7:117" s="5" customFormat="1">
      <c r="G221" s="34"/>
      <c r="H221" s="10"/>
      <c r="I221" s="10"/>
      <c r="J221" s="6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s="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W221"/>
      <c r="BX221"/>
      <c r="BY221"/>
      <c r="BZ221"/>
      <c r="CA221"/>
      <c r="CB221"/>
      <c r="CC221"/>
      <c r="CD221"/>
      <c r="CE221" s="2"/>
      <c r="CF221" s="2"/>
      <c r="CG221" s="2"/>
      <c r="CH221" s="2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 s="3"/>
      <c r="DK221"/>
      <c r="DL221"/>
      <c r="DM221"/>
    </row>
    <row r="222" spans="7:117" s="5" customFormat="1">
      <c r="G222" s="34"/>
      <c r="H222" s="10"/>
      <c r="I222" s="10"/>
      <c r="J222" s="6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s="1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W222"/>
      <c r="BX222"/>
      <c r="BY222"/>
      <c r="BZ222"/>
      <c r="CA222"/>
      <c r="CB222"/>
      <c r="CC222"/>
      <c r="CD222"/>
      <c r="CE222" s="2"/>
      <c r="CF222" s="2"/>
      <c r="CG222" s="2"/>
      <c r="CH222" s="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 s="3"/>
      <c r="DK222"/>
      <c r="DL222"/>
      <c r="DM222"/>
    </row>
    <row r="223" spans="7:117" s="5" customFormat="1">
      <c r="G223" s="34"/>
      <c r="H223" s="10"/>
      <c r="I223" s="10"/>
      <c r="J223" s="6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s="1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W223"/>
      <c r="BX223"/>
      <c r="BY223"/>
      <c r="BZ223"/>
      <c r="CA223"/>
      <c r="CB223"/>
      <c r="CC223"/>
      <c r="CD223"/>
      <c r="CE223" s="2"/>
      <c r="CF223" s="2"/>
      <c r="CG223" s="2"/>
      <c r="CH223" s="2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 s="3"/>
      <c r="DK223"/>
      <c r="DL223"/>
      <c r="DM223"/>
    </row>
    <row r="224" spans="7:117" s="5" customFormat="1">
      <c r="G224" s="34"/>
      <c r="H224" s="10"/>
      <c r="I224" s="10"/>
      <c r="J224" s="6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s="1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W224"/>
      <c r="BX224"/>
      <c r="BY224"/>
      <c r="BZ224"/>
      <c r="CA224"/>
      <c r="CB224"/>
      <c r="CC224"/>
      <c r="CD224"/>
      <c r="CE224" s="2"/>
      <c r="CF224" s="2"/>
      <c r="CG224" s="2"/>
      <c r="CH224" s="2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 s="3"/>
      <c r="DK224"/>
      <c r="DL224"/>
      <c r="DM224"/>
    </row>
    <row r="225" spans="7:117" s="5" customFormat="1">
      <c r="G225" s="34"/>
      <c r="H225" s="10"/>
      <c r="I225" s="10"/>
      <c r="J225" s="6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s="1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W225"/>
      <c r="BX225"/>
      <c r="BY225"/>
      <c r="BZ225"/>
      <c r="CA225"/>
      <c r="CB225"/>
      <c r="CC225"/>
      <c r="CD225"/>
      <c r="CE225" s="2"/>
      <c r="CF225" s="2"/>
      <c r="CG225" s="2"/>
      <c r="CH225" s="2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 s="3"/>
      <c r="DK225"/>
      <c r="DL225"/>
      <c r="DM225"/>
    </row>
    <row r="226" spans="7:117" s="5" customFormat="1">
      <c r="G226" s="34"/>
      <c r="H226" s="10"/>
      <c r="I226" s="10"/>
      <c r="J226" s="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s="1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W226"/>
      <c r="BX226"/>
      <c r="BY226"/>
      <c r="BZ226"/>
      <c r="CA226"/>
      <c r="CB226"/>
      <c r="CC226"/>
      <c r="CD226"/>
      <c r="CE226" s="2"/>
      <c r="CF226" s="2"/>
      <c r="CG226" s="2"/>
      <c r="CH226" s="2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 s="3"/>
      <c r="DK226"/>
      <c r="DL226"/>
      <c r="DM226"/>
    </row>
    <row r="227" spans="7:117" s="5" customFormat="1">
      <c r="G227" s="34"/>
      <c r="H227" s="10"/>
      <c r="I227" s="10"/>
      <c r="J227" s="6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s="1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W227"/>
      <c r="BX227"/>
      <c r="BY227"/>
      <c r="BZ227"/>
      <c r="CA227"/>
      <c r="CB227"/>
      <c r="CC227"/>
      <c r="CD227"/>
      <c r="CE227" s="2"/>
      <c r="CF227" s="2"/>
      <c r="CG227" s="2"/>
      <c r="CH227" s="2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 s="3"/>
      <c r="DK227"/>
      <c r="DL227"/>
      <c r="DM227"/>
    </row>
    <row r="228" spans="7:117" s="5" customFormat="1">
      <c r="G228" s="34"/>
      <c r="H228" s="10"/>
      <c r="I228" s="10"/>
      <c r="J228" s="6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s="1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W228"/>
      <c r="BX228"/>
      <c r="BY228"/>
      <c r="BZ228"/>
      <c r="CA228"/>
      <c r="CB228"/>
      <c r="CC228"/>
      <c r="CD228"/>
      <c r="CE228" s="2"/>
      <c r="CF228" s="2"/>
      <c r="CG228" s="2"/>
      <c r="CH228" s="2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 s="3"/>
      <c r="DK228"/>
      <c r="DL228"/>
      <c r="DM228"/>
    </row>
    <row r="229" spans="7:117" s="5" customFormat="1">
      <c r="G229" s="34"/>
      <c r="H229" s="10"/>
      <c r="I229" s="10"/>
      <c r="J229" s="6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s="1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W229"/>
      <c r="BX229"/>
      <c r="BY229"/>
      <c r="BZ229"/>
      <c r="CA229"/>
      <c r="CB229"/>
      <c r="CC229"/>
      <c r="CD229"/>
      <c r="CE229" s="2"/>
      <c r="CF229" s="2"/>
      <c r="CG229" s="2"/>
      <c r="CH229" s="2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 s="3"/>
      <c r="DK229"/>
      <c r="DL229"/>
      <c r="DM229"/>
    </row>
    <row r="230" spans="7:117" s="5" customFormat="1">
      <c r="G230" s="34"/>
      <c r="H230" s="10"/>
      <c r="I230" s="10"/>
      <c r="J230" s="6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s="1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W230"/>
      <c r="BX230"/>
      <c r="BY230"/>
      <c r="BZ230"/>
      <c r="CA230"/>
      <c r="CB230"/>
      <c r="CC230"/>
      <c r="CD230"/>
      <c r="CE230" s="2"/>
      <c r="CF230" s="2"/>
      <c r="CG230" s="2"/>
      <c r="CH230" s="2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 s="3"/>
      <c r="DK230"/>
      <c r="DL230"/>
      <c r="DM230"/>
    </row>
    <row r="231" spans="7:117" s="5" customFormat="1">
      <c r="G231" s="34"/>
      <c r="H231" s="10"/>
      <c r="I231" s="10"/>
      <c r="J231" s="6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s="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W231"/>
      <c r="BX231"/>
      <c r="BY231"/>
      <c r="BZ231"/>
      <c r="CA231"/>
      <c r="CB231"/>
      <c r="CC231"/>
      <c r="CD231"/>
      <c r="CE231" s="2"/>
      <c r="CF231" s="2"/>
      <c r="CG231" s="2"/>
      <c r="CH231" s="2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 s="3"/>
      <c r="DK231"/>
      <c r="DL231"/>
      <c r="DM231"/>
    </row>
    <row r="232" spans="7:117" s="5" customFormat="1">
      <c r="G232" s="34"/>
      <c r="H232" s="10"/>
      <c r="I232" s="10"/>
      <c r="J232" s="6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s="1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W232"/>
      <c r="BX232"/>
      <c r="BY232"/>
      <c r="BZ232"/>
      <c r="CA232"/>
      <c r="CB232"/>
      <c r="CC232"/>
      <c r="CD232"/>
      <c r="CE232" s="2"/>
      <c r="CF232" s="2"/>
      <c r="CG232" s="2"/>
      <c r="CH232" s="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 s="3"/>
      <c r="DK232"/>
      <c r="DL232"/>
      <c r="DM232"/>
    </row>
    <row r="233" spans="7:117" s="5" customFormat="1">
      <c r="G233" s="34"/>
      <c r="H233" s="10"/>
      <c r="I233" s="10"/>
      <c r="J233" s="6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s="1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W233"/>
      <c r="BX233"/>
      <c r="BY233"/>
      <c r="BZ233"/>
      <c r="CA233"/>
      <c r="CB233"/>
      <c r="CC233"/>
      <c r="CD233"/>
      <c r="CE233" s="2"/>
      <c r="CF233" s="2"/>
      <c r="CG233" s="2"/>
      <c r="CH233" s="2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 s="3"/>
      <c r="DK233"/>
      <c r="DL233"/>
      <c r="DM233"/>
    </row>
    <row r="234" spans="7:117" s="5" customFormat="1">
      <c r="G234" s="34"/>
      <c r="H234" s="10"/>
      <c r="I234" s="10"/>
      <c r="J234" s="6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s="1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W234"/>
      <c r="BX234"/>
      <c r="BY234"/>
      <c r="BZ234"/>
      <c r="CA234"/>
      <c r="CB234"/>
      <c r="CC234"/>
      <c r="CD234"/>
      <c r="CE234" s="2"/>
      <c r="CF234" s="2"/>
      <c r="CG234" s="2"/>
      <c r="CH234" s="2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 s="3"/>
      <c r="DK234"/>
      <c r="DL234"/>
      <c r="DM234"/>
    </row>
    <row r="235" spans="7:117" s="5" customFormat="1">
      <c r="G235" s="34"/>
      <c r="H235" s="10"/>
      <c r="I235" s="10"/>
      <c r="J235" s="6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s="1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W235"/>
      <c r="BX235"/>
      <c r="BY235"/>
      <c r="BZ235"/>
      <c r="CA235"/>
      <c r="CB235"/>
      <c r="CC235"/>
      <c r="CD235"/>
      <c r="CE235" s="2"/>
      <c r="CF235" s="2"/>
      <c r="CG235" s="2"/>
      <c r="CH235" s="2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 s="3"/>
      <c r="DK235"/>
      <c r="DL235"/>
      <c r="DM235"/>
    </row>
    <row r="236" spans="7:117" s="5" customFormat="1">
      <c r="G236" s="34"/>
      <c r="H236" s="10"/>
      <c r="I236" s="10"/>
      <c r="J236" s="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s="1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W236"/>
      <c r="BX236"/>
      <c r="BY236"/>
      <c r="BZ236"/>
      <c r="CA236"/>
      <c r="CB236"/>
      <c r="CC236"/>
      <c r="CD236"/>
      <c r="CE236" s="2"/>
      <c r="CF236" s="2"/>
      <c r="CG236" s="2"/>
      <c r="CH236" s="2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 s="3"/>
      <c r="DK236"/>
      <c r="DL236"/>
      <c r="DM236"/>
    </row>
    <row r="237" spans="7:117" s="5" customFormat="1">
      <c r="G237" s="34"/>
      <c r="H237" s="10"/>
      <c r="I237" s="10"/>
      <c r="J237" s="6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s="1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W237"/>
      <c r="BX237"/>
      <c r="BY237"/>
      <c r="BZ237"/>
      <c r="CA237"/>
      <c r="CB237"/>
      <c r="CC237"/>
      <c r="CD237"/>
      <c r="CE237" s="2"/>
      <c r="CF237" s="2"/>
      <c r="CG237" s="2"/>
      <c r="CH237" s="2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 s="3"/>
      <c r="DK237"/>
      <c r="DL237"/>
      <c r="DM237"/>
    </row>
    <row r="238" spans="7:117" s="5" customFormat="1">
      <c r="G238" s="34"/>
      <c r="H238" s="10"/>
      <c r="I238" s="10"/>
      <c r="J238" s="6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s="1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W238"/>
      <c r="BX238"/>
      <c r="BY238"/>
      <c r="BZ238"/>
      <c r="CA238"/>
      <c r="CB238"/>
      <c r="CC238"/>
      <c r="CD238"/>
      <c r="CE238" s="2"/>
      <c r="CF238" s="2"/>
      <c r="CG238" s="2"/>
      <c r="CH238" s="2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 s="3"/>
      <c r="DK238"/>
      <c r="DL238"/>
      <c r="DM238"/>
    </row>
    <row r="239" spans="7:117" s="5" customFormat="1">
      <c r="G239" s="34"/>
      <c r="H239" s="10"/>
      <c r="I239" s="10"/>
      <c r="J239" s="6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s="1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W239"/>
      <c r="BX239"/>
      <c r="BY239"/>
      <c r="BZ239"/>
      <c r="CA239"/>
      <c r="CB239"/>
      <c r="CC239"/>
      <c r="CD239"/>
      <c r="CE239" s="2"/>
      <c r="CF239" s="2"/>
      <c r="CG239" s="2"/>
      <c r="CH239" s="2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 s="3"/>
      <c r="DK239"/>
      <c r="DL239"/>
      <c r="DM239"/>
    </row>
    <row r="240" spans="7:117" s="5" customFormat="1">
      <c r="G240" s="34"/>
      <c r="H240" s="10"/>
      <c r="I240" s="10"/>
      <c r="J240" s="6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 s="1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W240"/>
      <c r="BX240"/>
      <c r="BY240"/>
      <c r="BZ240"/>
      <c r="CA240"/>
      <c r="CB240"/>
      <c r="CC240"/>
      <c r="CD240"/>
      <c r="CE240" s="2"/>
      <c r="CF240" s="2"/>
      <c r="CG240" s="2"/>
      <c r="CH240" s="2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 s="3"/>
      <c r="DK240"/>
      <c r="DL240"/>
      <c r="DM240"/>
    </row>
    <row r="241" spans="7:117" s="5" customFormat="1">
      <c r="G241" s="34"/>
      <c r="H241" s="10"/>
      <c r="I241" s="10"/>
      <c r="J241" s="6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s="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W241"/>
      <c r="BX241"/>
      <c r="BY241"/>
      <c r="BZ241"/>
      <c r="CA241"/>
      <c r="CB241"/>
      <c r="CC241"/>
      <c r="CD241"/>
      <c r="CE241" s="2"/>
      <c r="CF241" s="2"/>
      <c r="CG241" s="2"/>
      <c r="CH241" s="2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 s="3"/>
      <c r="DK241"/>
      <c r="DL241"/>
      <c r="DM241"/>
    </row>
    <row r="242" spans="7:117" s="5" customFormat="1">
      <c r="G242" s="34"/>
      <c r="H242" s="10"/>
      <c r="I242" s="10"/>
      <c r="J242" s="6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s="1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W242"/>
      <c r="BX242"/>
      <c r="BY242"/>
      <c r="BZ242"/>
      <c r="CA242"/>
      <c r="CB242"/>
      <c r="CC242"/>
      <c r="CD242"/>
      <c r="CE242" s="2"/>
      <c r="CF242" s="2"/>
      <c r="CG242" s="2"/>
      <c r="CH242" s="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 s="3"/>
      <c r="DK242"/>
      <c r="DL242"/>
      <c r="DM242"/>
    </row>
    <row r="243" spans="7:117" s="5" customFormat="1">
      <c r="G243" s="34"/>
      <c r="H243" s="10"/>
      <c r="I243" s="10"/>
      <c r="J243" s="6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s="1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W243"/>
      <c r="BX243"/>
      <c r="BY243"/>
      <c r="BZ243"/>
      <c r="CA243"/>
      <c r="CB243"/>
      <c r="CC243"/>
      <c r="CD243"/>
      <c r="CE243" s="2"/>
      <c r="CF243" s="2"/>
      <c r="CG243" s="2"/>
      <c r="CH243" s="2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 s="3"/>
      <c r="DK243"/>
      <c r="DL243"/>
      <c r="DM243"/>
    </row>
    <row r="244" spans="7:117" s="5" customFormat="1">
      <c r="G244" s="34"/>
      <c r="H244" s="10"/>
      <c r="I244" s="10"/>
      <c r="J244" s="6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s="1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W244"/>
      <c r="BX244"/>
      <c r="BY244"/>
      <c r="BZ244"/>
      <c r="CA244"/>
      <c r="CB244"/>
      <c r="CC244"/>
      <c r="CD244"/>
      <c r="CE244" s="2"/>
      <c r="CF244" s="2"/>
      <c r="CG244" s="2"/>
      <c r="CH244" s="2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 s="3"/>
      <c r="DK244"/>
      <c r="DL244"/>
      <c r="DM244"/>
    </row>
    <row r="245" spans="7:117" s="5" customFormat="1">
      <c r="G245" s="34"/>
      <c r="H245" s="10"/>
      <c r="I245" s="10"/>
      <c r="J245" s="6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s="1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W245"/>
      <c r="BX245"/>
      <c r="BY245"/>
      <c r="BZ245"/>
      <c r="CA245"/>
      <c r="CB245"/>
      <c r="CC245"/>
      <c r="CD245"/>
      <c r="CE245" s="2"/>
      <c r="CF245" s="2"/>
      <c r="CG245" s="2"/>
      <c r="CH245" s="2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 s="3"/>
      <c r="DK245"/>
      <c r="DL245"/>
      <c r="DM245"/>
    </row>
    <row r="246" spans="7:117" s="5" customFormat="1">
      <c r="G246" s="34"/>
      <c r="H246" s="10"/>
      <c r="I246" s="10"/>
      <c r="J246" s="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 s="1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W246"/>
      <c r="BX246"/>
      <c r="BY246"/>
      <c r="BZ246"/>
      <c r="CA246"/>
      <c r="CB246"/>
      <c r="CC246"/>
      <c r="CD246"/>
      <c r="CE246" s="2"/>
      <c r="CF246" s="2"/>
      <c r="CG246" s="2"/>
      <c r="CH246" s="2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 s="3"/>
      <c r="DK246"/>
      <c r="DL246"/>
      <c r="DM246"/>
    </row>
    <row r="247" spans="7:117" s="5" customFormat="1">
      <c r="G247" s="34"/>
      <c r="H247" s="10"/>
      <c r="I247" s="10"/>
      <c r="J247" s="6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s="1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W247"/>
      <c r="BX247"/>
      <c r="BY247"/>
      <c r="BZ247"/>
      <c r="CA247"/>
      <c r="CB247"/>
      <c r="CC247"/>
      <c r="CD247"/>
      <c r="CE247" s="2"/>
      <c r="CF247" s="2"/>
      <c r="CG247" s="2"/>
      <c r="CH247" s="2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 s="3"/>
      <c r="DK247"/>
      <c r="DL247"/>
      <c r="DM247"/>
    </row>
    <row r="248" spans="7:117" s="5" customFormat="1">
      <c r="G248" s="34"/>
      <c r="H248" s="10"/>
      <c r="I248" s="10"/>
      <c r="J248" s="6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s="1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W248"/>
      <c r="BX248"/>
      <c r="BY248"/>
      <c r="BZ248"/>
      <c r="CA248"/>
      <c r="CB248"/>
      <c r="CC248"/>
      <c r="CD248"/>
      <c r="CE248" s="2"/>
      <c r="CF248" s="2"/>
      <c r="CG248" s="2"/>
      <c r="CH248" s="2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 s="3"/>
      <c r="DK248"/>
      <c r="DL248"/>
      <c r="DM248"/>
    </row>
    <row r="249" spans="7:117" s="5" customFormat="1">
      <c r="G249" s="34"/>
      <c r="H249" s="10"/>
      <c r="I249" s="10"/>
      <c r="J249" s="6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s="1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W249"/>
      <c r="BX249"/>
      <c r="BY249"/>
      <c r="BZ249"/>
      <c r="CA249"/>
      <c r="CB249"/>
      <c r="CC249"/>
      <c r="CD249"/>
      <c r="CE249" s="2"/>
      <c r="CF249" s="2"/>
      <c r="CG249" s="2"/>
      <c r="CH249" s="2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 s="3"/>
      <c r="DK249"/>
      <c r="DL249"/>
      <c r="DM249"/>
    </row>
    <row r="250" spans="7:117" s="5" customFormat="1">
      <c r="G250" s="34"/>
      <c r="H250" s="10"/>
      <c r="I250" s="10"/>
      <c r="J250" s="6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s="1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W250"/>
      <c r="BX250"/>
      <c r="BY250"/>
      <c r="BZ250"/>
      <c r="CA250"/>
      <c r="CB250"/>
      <c r="CC250"/>
      <c r="CD250"/>
      <c r="CE250" s="2"/>
      <c r="CF250" s="2"/>
      <c r="CG250" s="2"/>
      <c r="CH250" s="2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 s="3"/>
      <c r="DK250"/>
      <c r="DL250"/>
      <c r="DM250"/>
    </row>
    <row r="251" spans="7:117" s="5" customFormat="1">
      <c r="G251" s="34"/>
      <c r="H251" s="10"/>
      <c r="I251" s="10"/>
      <c r="J251" s="6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s="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W251"/>
      <c r="BX251"/>
      <c r="BY251"/>
      <c r="BZ251"/>
      <c r="CA251"/>
      <c r="CB251"/>
      <c r="CC251"/>
      <c r="CD251"/>
      <c r="CE251" s="2"/>
      <c r="CF251" s="2"/>
      <c r="CG251" s="2"/>
      <c r="CH251" s="2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 s="3"/>
      <c r="DK251"/>
      <c r="DL251"/>
      <c r="DM251"/>
    </row>
    <row r="252" spans="7:117" s="5" customFormat="1">
      <c r="G252" s="34"/>
      <c r="H252" s="10"/>
      <c r="I252" s="10"/>
      <c r="J252" s="6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s="1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W252"/>
      <c r="BX252"/>
      <c r="BY252"/>
      <c r="BZ252"/>
      <c r="CA252"/>
      <c r="CB252"/>
      <c r="CC252"/>
      <c r="CD252"/>
      <c r="CE252" s="2"/>
      <c r="CF252" s="2"/>
      <c r="CG252" s="2"/>
      <c r="CH252" s="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 s="3"/>
      <c r="DK252"/>
      <c r="DL252"/>
      <c r="DM252"/>
    </row>
    <row r="253" spans="7:117" s="5" customFormat="1">
      <c r="G253" s="34"/>
      <c r="H253" s="10"/>
      <c r="I253" s="10"/>
      <c r="J253" s="6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s="1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W253"/>
      <c r="BX253"/>
      <c r="BY253"/>
      <c r="BZ253"/>
      <c r="CA253"/>
      <c r="CB253"/>
      <c r="CC253"/>
      <c r="CD253"/>
      <c r="CE253" s="2"/>
      <c r="CF253" s="2"/>
      <c r="CG253" s="2"/>
      <c r="CH253" s="2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 s="3"/>
      <c r="DK253"/>
      <c r="DL253"/>
      <c r="DM253"/>
    </row>
    <row r="254" spans="7:117" s="5" customFormat="1">
      <c r="G254" s="34"/>
      <c r="H254" s="10"/>
      <c r="I254" s="10"/>
      <c r="J254" s="6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s="1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W254"/>
      <c r="BX254"/>
      <c r="BY254"/>
      <c r="BZ254"/>
      <c r="CA254"/>
      <c r="CB254"/>
      <c r="CC254"/>
      <c r="CD254"/>
      <c r="CE254" s="2"/>
      <c r="CF254" s="2"/>
      <c r="CG254" s="2"/>
      <c r="CH254" s="2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 s="3"/>
      <c r="DK254"/>
      <c r="DL254"/>
      <c r="DM254"/>
    </row>
    <row r="255" spans="7:117" s="5" customFormat="1">
      <c r="G255" s="34"/>
      <c r="H255" s="10"/>
      <c r="I255" s="10"/>
      <c r="J255" s="6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s="1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W255"/>
      <c r="BX255"/>
      <c r="BY255"/>
      <c r="BZ255"/>
      <c r="CA255"/>
      <c r="CB255"/>
      <c r="CC255"/>
      <c r="CD255"/>
      <c r="CE255" s="2"/>
      <c r="CF255" s="2"/>
      <c r="CG255" s="2"/>
      <c r="CH255" s="2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 s="3"/>
      <c r="DK255"/>
      <c r="DL255"/>
      <c r="DM255"/>
    </row>
    <row r="256" spans="7:117" s="5" customFormat="1">
      <c r="G256" s="34"/>
      <c r="H256" s="10"/>
      <c r="I256" s="10"/>
      <c r="J256" s="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s="1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W256"/>
      <c r="BX256"/>
      <c r="BY256"/>
      <c r="BZ256"/>
      <c r="CA256"/>
      <c r="CB256"/>
      <c r="CC256"/>
      <c r="CD256"/>
      <c r="CE256" s="2"/>
      <c r="CF256" s="2"/>
      <c r="CG256" s="2"/>
      <c r="CH256" s="2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 s="3"/>
      <c r="DK256"/>
      <c r="DL256"/>
      <c r="DM256"/>
    </row>
    <row r="257" spans="7:117" s="5" customFormat="1">
      <c r="G257" s="34"/>
      <c r="H257" s="10"/>
      <c r="I257" s="10"/>
      <c r="J257" s="6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s="1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W257"/>
      <c r="BX257"/>
      <c r="BY257"/>
      <c r="BZ257"/>
      <c r="CA257"/>
      <c r="CB257"/>
      <c r="CC257"/>
      <c r="CD257"/>
      <c r="CE257" s="2"/>
      <c r="CF257" s="2"/>
      <c r="CG257" s="2"/>
      <c r="CH257" s="2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 s="3"/>
      <c r="DK257"/>
      <c r="DL257"/>
      <c r="DM257"/>
    </row>
    <row r="258" spans="7:117" s="5" customFormat="1">
      <c r="G258" s="34"/>
      <c r="H258" s="10"/>
      <c r="I258" s="10"/>
      <c r="J258" s="6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s="1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W258"/>
      <c r="BX258"/>
      <c r="BY258"/>
      <c r="BZ258"/>
      <c r="CA258"/>
      <c r="CB258"/>
      <c r="CC258"/>
      <c r="CD258"/>
      <c r="CE258" s="2"/>
      <c r="CF258" s="2"/>
      <c r="CG258" s="2"/>
      <c r="CH258" s="2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 s="3"/>
      <c r="DK258"/>
      <c r="DL258"/>
      <c r="DM258"/>
    </row>
    <row r="259" spans="7:117" s="5" customFormat="1">
      <c r="G259" s="34"/>
      <c r="H259" s="10"/>
      <c r="I259" s="10"/>
      <c r="J259" s="6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s="1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W259"/>
      <c r="BX259"/>
      <c r="BY259"/>
      <c r="BZ259"/>
      <c r="CA259"/>
      <c r="CB259"/>
      <c r="CC259"/>
      <c r="CD259"/>
      <c r="CE259" s="2"/>
      <c r="CF259" s="2"/>
      <c r="CG259" s="2"/>
      <c r="CH259" s="2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 s="3"/>
      <c r="DK259"/>
      <c r="DL259"/>
      <c r="DM259"/>
    </row>
    <row r="260" spans="7:117" s="5" customFormat="1">
      <c r="G260" s="34"/>
      <c r="H260" s="10"/>
      <c r="I260" s="10"/>
      <c r="J260" s="6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 s="1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W260"/>
      <c r="BX260"/>
      <c r="BY260"/>
      <c r="BZ260"/>
      <c r="CA260"/>
      <c r="CB260"/>
      <c r="CC260"/>
      <c r="CD260"/>
      <c r="CE260" s="2"/>
      <c r="CF260" s="2"/>
      <c r="CG260" s="2"/>
      <c r="CH260" s="2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 s="3"/>
      <c r="DK260"/>
      <c r="DL260"/>
      <c r="DM260"/>
    </row>
    <row r="261" spans="7:117" s="5" customFormat="1">
      <c r="G261" s="34"/>
      <c r="H261" s="10"/>
      <c r="I261" s="10"/>
      <c r="J261" s="6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 s="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W261"/>
      <c r="BX261"/>
      <c r="BY261"/>
      <c r="BZ261"/>
      <c r="CA261"/>
      <c r="CB261"/>
      <c r="CC261"/>
      <c r="CD261"/>
      <c r="CE261" s="2"/>
      <c r="CF261" s="2"/>
      <c r="CG261" s="2"/>
      <c r="CH261" s="2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 s="3"/>
      <c r="DK261"/>
      <c r="DL261"/>
      <c r="DM261"/>
    </row>
    <row r="262" spans="7:117" s="5" customFormat="1">
      <c r="G262" s="34"/>
      <c r="H262" s="10"/>
      <c r="I262" s="10"/>
      <c r="J262" s="6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s="1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W262"/>
      <c r="BX262"/>
      <c r="BY262"/>
      <c r="BZ262"/>
      <c r="CA262"/>
      <c r="CB262"/>
      <c r="CC262"/>
      <c r="CD262"/>
      <c r="CE262" s="2"/>
      <c r="CF262" s="2"/>
      <c r="CG262" s="2"/>
      <c r="CH262" s="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 s="3"/>
      <c r="DK262"/>
      <c r="DL262"/>
      <c r="DM262"/>
    </row>
    <row r="263" spans="7:117" s="5" customFormat="1">
      <c r="G263" s="34"/>
      <c r="H263" s="10"/>
      <c r="I263" s="10"/>
      <c r="J263" s="6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 s="1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W263"/>
      <c r="BX263"/>
      <c r="BY263"/>
      <c r="BZ263"/>
      <c r="CA263"/>
      <c r="CB263"/>
      <c r="CC263"/>
      <c r="CD263"/>
      <c r="CE263" s="2"/>
      <c r="CF263" s="2"/>
      <c r="CG263" s="2"/>
      <c r="CH263" s="2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 s="3"/>
      <c r="DK263"/>
      <c r="DL263"/>
      <c r="DM263"/>
    </row>
    <row r="264" spans="7:117" s="5" customFormat="1">
      <c r="G264" s="34"/>
      <c r="H264" s="10"/>
      <c r="I264" s="10"/>
      <c r="J264" s="6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s="1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W264"/>
      <c r="BX264"/>
      <c r="BY264"/>
      <c r="BZ264"/>
      <c r="CA264"/>
      <c r="CB264"/>
      <c r="CC264"/>
      <c r="CD264"/>
      <c r="CE264" s="2"/>
      <c r="CF264" s="2"/>
      <c r="CG264" s="2"/>
      <c r="CH264" s="2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 s="3"/>
      <c r="DK264"/>
      <c r="DL264"/>
      <c r="DM264"/>
    </row>
    <row r="265" spans="7:117" s="5" customFormat="1">
      <c r="G265" s="34"/>
      <c r="H265" s="10"/>
      <c r="I265" s="10"/>
      <c r="J265" s="6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 s="1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W265"/>
      <c r="BX265"/>
      <c r="BY265"/>
      <c r="BZ265"/>
      <c r="CA265"/>
      <c r="CB265"/>
      <c r="CC265"/>
      <c r="CD265"/>
      <c r="CE265" s="2"/>
      <c r="CF265" s="2"/>
      <c r="CG265" s="2"/>
      <c r="CH265" s="2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 s="3"/>
      <c r="DK265"/>
      <c r="DL265"/>
      <c r="DM265"/>
    </row>
    <row r="266" spans="7:117" s="5" customFormat="1">
      <c r="G266" s="34"/>
      <c r="H266" s="10"/>
      <c r="I266" s="10"/>
      <c r="J266" s="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s="1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W266"/>
      <c r="BX266"/>
      <c r="BY266"/>
      <c r="BZ266"/>
      <c r="CA266"/>
      <c r="CB266"/>
      <c r="CC266"/>
      <c r="CD266"/>
      <c r="CE266" s="2"/>
      <c r="CF266" s="2"/>
      <c r="CG266" s="2"/>
      <c r="CH266" s="2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 s="3"/>
      <c r="DK266"/>
      <c r="DL266"/>
      <c r="DM266"/>
    </row>
    <row r="267" spans="7:117" s="5" customFormat="1">
      <c r="G267" s="34"/>
      <c r="H267" s="10"/>
      <c r="I267" s="10"/>
      <c r="J267" s="6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 s="1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W267"/>
      <c r="BX267"/>
      <c r="BY267"/>
      <c r="BZ267"/>
      <c r="CA267"/>
      <c r="CB267"/>
      <c r="CC267"/>
      <c r="CD267"/>
      <c r="CE267" s="2"/>
      <c r="CF267" s="2"/>
      <c r="CG267" s="2"/>
      <c r="CH267" s="2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 s="3"/>
      <c r="DK267"/>
      <c r="DL267"/>
      <c r="DM267"/>
    </row>
    <row r="268" spans="7:117" s="5" customFormat="1">
      <c r="G268" s="34"/>
      <c r="H268" s="10"/>
      <c r="I268" s="10"/>
      <c r="J268" s="6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 s="1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W268"/>
      <c r="BX268"/>
      <c r="BY268"/>
      <c r="BZ268"/>
      <c r="CA268"/>
      <c r="CB268"/>
      <c r="CC268"/>
      <c r="CD268"/>
      <c r="CE268" s="2"/>
      <c r="CF268" s="2"/>
      <c r="CG268" s="2"/>
      <c r="CH268" s="2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 s="3"/>
      <c r="DK268"/>
      <c r="DL268"/>
      <c r="DM268"/>
    </row>
    <row r="269" spans="7:117" s="5" customFormat="1">
      <c r="G269" s="34"/>
      <c r="H269" s="10"/>
      <c r="I269" s="10"/>
      <c r="J269" s="6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 s="1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W269"/>
      <c r="BX269"/>
      <c r="BY269"/>
      <c r="BZ269"/>
      <c r="CA269"/>
      <c r="CB269"/>
      <c r="CC269"/>
      <c r="CD269"/>
      <c r="CE269" s="2"/>
      <c r="CF269" s="2"/>
      <c r="CG269" s="2"/>
      <c r="CH269" s="2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 s="3"/>
      <c r="DK269"/>
      <c r="DL269"/>
      <c r="DM269"/>
    </row>
    <row r="270" spans="7:117" s="5" customFormat="1">
      <c r="G270" s="34"/>
      <c r="H270" s="10"/>
      <c r="I270" s="10"/>
      <c r="J270" s="6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s="1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W270"/>
      <c r="BX270"/>
      <c r="BY270"/>
      <c r="BZ270"/>
      <c r="CA270"/>
      <c r="CB270"/>
      <c r="CC270"/>
      <c r="CD270"/>
      <c r="CE270" s="2"/>
      <c r="CF270" s="2"/>
      <c r="CG270" s="2"/>
      <c r="CH270" s="2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 s="3"/>
      <c r="DK270"/>
      <c r="DL270"/>
      <c r="DM270"/>
    </row>
    <row r="271" spans="7:117" s="5" customFormat="1">
      <c r="G271" s="34"/>
      <c r="H271" s="10"/>
      <c r="I271" s="10"/>
      <c r="J271" s="6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 s="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W271"/>
      <c r="BX271"/>
      <c r="BY271"/>
      <c r="BZ271"/>
      <c r="CA271"/>
      <c r="CB271"/>
      <c r="CC271"/>
      <c r="CD271"/>
      <c r="CE271" s="2"/>
      <c r="CF271" s="2"/>
      <c r="CG271" s="2"/>
      <c r="CH271" s="2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 s="3"/>
      <c r="DK271"/>
      <c r="DL271"/>
      <c r="DM271"/>
    </row>
    <row r="272" spans="7:117" s="5" customFormat="1">
      <c r="G272" s="34"/>
      <c r="H272" s="10"/>
      <c r="I272" s="10"/>
      <c r="J272" s="6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 s="1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W272"/>
      <c r="BX272"/>
      <c r="BY272"/>
      <c r="BZ272"/>
      <c r="CA272"/>
      <c r="CB272"/>
      <c r="CC272"/>
      <c r="CD272"/>
      <c r="CE272" s="2"/>
      <c r="CF272" s="2"/>
      <c r="CG272" s="2"/>
      <c r="CH272" s="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 s="3"/>
      <c r="DK272"/>
      <c r="DL272"/>
      <c r="DM272"/>
    </row>
    <row r="273" spans="7:117" s="5" customFormat="1">
      <c r="G273" s="34"/>
      <c r="H273" s="10"/>
      <c r="I273" s="10"/>
      <c r="J273" s="6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s="1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W273"/>
      <c r="BX273"/>
      <c r="BY273"/>
      <c r="BZ273"/>
      <c r="CA273"/>
      <c r="CB273"/>
      <c r="CC273"/>
      <c r="CD273"/>
      <c r="CE273" s="2"/>
      <c r="CF273" s="2"/>
      <c r="CG273" s="2"/>
      <c r="CH273" s="2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 s="3"/>
      <c r="DK273"/>
      <c r="DL273"/>
      <c r="DM273"/>
    </row>
    <row r="274" spans="7:117" s="5" customFormat="1">
      <c r="G274" s="34"/>
      <c r="H274" s="10"/>
      <c r="I274" s="10"/>
      <c r="J274" s="6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 s="1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W274"/>
      <c r="BX274"/>
      <c r="BY274"/>
      <c r="BZ274"/>
      <c r="CA274"/>
      <c r="CB274"/>
      <c r="CC274"/>
      <c r="CD274"/>
      <c r="CE274" s="2"/>
      <c r="CF274" s="2"/>
      <c r="CG274" s="2"/>
      <c r="CH274" s="2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 s="3"/>
      <c r="DK274"/>
      <c r="DL274"/>
      <c r="DM274"/>
    </row>
    <row r="275" spans="7:117" s="5" customFormat="1">
      <c r="G275" s="34"/>
      <c r="H275" s="10"/>
      <c r="I275" s="10"/>
      <c r="J275" s="6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 s="1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W275"/>
      <c r="BX275"/>
      <c r="BY275"/>
      <c r="BZ275"/>
      <c r="CA275"/>
      <c r="CB275"/>
      <c r="CC275"/>
      <c r="CD275"/>
      <c r="CE275" s="2"/>
      <c r="CF275" s="2"/>
      <c r="CG275" s="2"/>
      <c r="CH275" s="2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 s="3"/>
      <c r="DK275"/>
      <c r="DL275"/>
      <c r="DM275"/>
    </row>
    <row r="276" spans="7:117" s="5" customFormat="1">
      <c r="G276" s="34"/>
      <c r="H276" s="10"/>
      <c r="I276" s="10"/>
      <c r="J276" s="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 s="1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W276"/>
      <c r="BX276"/>
      <c r="BY276"/>
      <c r="BZ276"/>
      <c r="CA276"/>
      <c r="CB276"/>
      <c r="CC276"/>
      <c r="CD276"/>
      <c r="CE276" s="2"/>
      <c r="CF276" s="2"/>
      <c r="CG276" s="2"/>
      <c r="CH276" s="2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 s="3"/>
      <c r="DK276"/>
      <c r="DL276"/>
      <c r="DM276"/>
    </row>
    <row r="277" spans="7:117" s="5" customFormat="1">
      <c r="G277" s="34"/>
      <c r="H277" s="10"/>
      <c r="I277" s="10"/>
      <c r="J277" s="6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 s="1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W277"/>
      <c r="BX277"/>
      <c r="BY277"/>
      <c r="BZ277"/>
      <c r="CA277"/>
      <c r="CB277"/>
      <c r="CC277"/>
      <c r="CD277"/>
      <c r="CE277" s="2"/>
      <c r="CF277" s="2"/>
      <c r="CG277" s="2"/>
      <c r="CH277" s="2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 s="3"/>
      <c r="DK277"/>
      <c r="DL277"/>
      <c r="DM277"/>
    </row>
    <row r="278" spans="7:117" s="5" customFormat="1">
      <c r="G278" s="34"/>
      <c r="H278" s="10"/>
      <c r="I278" s="10"/>
      <c r="J278" s="6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 s="1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W278"/>
      <c r="BX278"/>
      <c r="BY278"/>
      <c r="BZ278"/>
      <c r="CA278"/>
      <c r="CB278"/>
      <c r="CC278"/>
      <c r="CD278"/>
      <c r="CE278" s="2"/>
      <c r="CF278" s="2"/>
      <c r="CG278" s="2"/>
      <c r="CH278" s="2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 s="3"/>
      <c r="DK278"/>
      <c r="DL278"/>
      <c r="DM278"/>
    </row>
    <row r="279" spans="7:117" s="5" customFormat="1">
      <c r="G279" s="34"/>
      <c r="H279" s="10"/>
      <c r="I279" s="10"/>
      <c r="J279" s="6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 s="1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W279"/>
      <c r="BX279"/>
      <c r="BY279"/>
      <c r="BZ279"/>
      <c r="CA279"/>
      <c r="CB279"/>
      <c r="CC279"/>
      <c r="CD279"/>
      <c r="CE279" s="2"/>
      <c r="CF279" s="2"/>
      <c r="CG279" s="2"/>
      <c r="CH279" s="2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 s="3"/>
      <c r="DK279"/>
      <c r="DL279"/>
      <c r="DM279"/>
    </row>
    <row r="280" spans="7:117" s="5" customFormat="1">
      <c r="G280" s="34"/>
      <c r="H280" s="10"/>
      <c r="I280" s="10"/>
      <c r="J280" s="6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 s="1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W280"/>
      <c r="BX280"/>
      <c r="BY280"/>
      <c r="BZ280"/>
      <c r="CA280"/>
      <c r="CB280"/>
      <c r="CC280"/>
      <c r="CD280"/>
      <c r="CE280" s="2"/>
      <c r="CF280" s="2"/>
      <c r="CG280" s="2"/>
      <c r="CH280" s="2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 s="3"/>
      <c r="DK280"/>
      <c r="DL280"/>
      <c r="DM280"/>
    </row>
    <row r="281" spans="7:117" s="5" customFormat="1">
      <c r="G281" s="34"/>
      <c r="H281" s="10"/>
      <c r="I281" s="10"/>
      <c r="J281" s="6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 s="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W281"/>
      <c r="BX281"/>
      <c r="BY281"/>
      <c r="BZ281"/>
      <c r="CA281"/>
      <c r="CB281"/>
      <c r="CC281"/>
      <c r="CD281"/>
      <c r="CE281" s="2"/>
      <c r="CF281" s="2"/>
      <c r="CG281" s="2"/>
      <c r="CH281" s="2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 s="3"/>
      <c r="DK281"/>
      <c r="DL281"/>
      <c r="DM281"/>
    </row>
    <row r="282" spans="7:117" s="5" customFormat="1">
      <c r="G282" s="34"/>
      <c r="H282" s="10"/>
      <c r="I282" s="10"/>
      <c r="J282" s="6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 s="1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W282"/>
      <c r="BX282"/>
      <c r="BY282"/>
      <c r="BZ282"/>
      <c r="CA282"/>
      <c r="CB282"/>
      <c r="CC282"/>
      <c r="CD282"/>
      <c r="CE282" s="2"/>
      <c r="CF282" s="2"/>
      <c r="CG282" s="2"/>
      <c r="CH282" s="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 s="3"/>
      <c r="DK282"/>
      <c r="DL282"/>
      <c r="DM282"/>
    </row>
    <row r="283" spans="7:117" s="5" customFormat="1">
      <c r="G283" s="34"/>
      <c r="H283" s="10"/>
      <c r="I283" s="10"/>
      <c r="J283" s="6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 s="1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W283"/>
      <c r="BX283"/>
      <c r="BY283"/>
      <c r="BZ283"/>
      <c r="CA283"/>
      <c r="CB283"/>
      <c r="CC283"/>
      <c r="CD283"/>
      <c r="CE283" s="2"/>
      <c r="CF283" s="2"/>
      <c r="CG283" s="2"/>
      <c r="CH283" s="2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 s="3"/>
      <c r="DK283"/>
      <c r="DL283"/>
      <c r="DM283"/>
    </row>
    <row r="284" spans="7:117" s="5" customFormat="1">
      <c r="G284" s="34"/>
      <c r="H284" s="10"/>
      <c r="I284" s="10"/>
      <c r="J284" s="6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 s="1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W284"/>
      <c r="BX284"/>
      <c r="BY284"/>
      <c r="BZ284"/>
      <c r="CA284"/>
      <c r="CB284"/>
      <c r="CC284"/>
      <c r="CD284"/>
      <c r="CE284" s="2"/>
      <c r="CF284" s="2"/>
      <c r="CG284" s="2"/>
      <c r="CH284" s="2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 s="3"/>
      <c r="DK284"/>
      <c r="DL284"/>
      <c r="DM284"/>
    </row>
    <row r="285" spans="7:117" s="5" customFormat="1">
      <c r="G285" s="34"/>
      <c r="H285" s="10"/>
      <c r="I285" s="10"/>
      <c r="J285" s="6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 s="1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W285"/>
      <c r="BX285"/>
      <c r="BY285"/>
      <c r="BZ285"/>
      <c r="CA285"/>
      <c r="CB285"/>
      <c r="CC285"/>
      <c r="CD285"/>
      <c r="CE285" s="2"/>
      <c r="CF285" s="2"/>
      <c r="CG285" s="2"/>
      <c r="CH285" s="2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 s="3"/>
      <c r="DK285"/>
      <c r="DL285"/>
      <c r="DM285"/>
    </row>
    <row r="286" spans="7:117" s="5" customFormat="1">
      <c r="G286" s="34"/>
      <c r="H286" s="10"/>
      <c r="I286" s="10"/>
      <c r="J286" s="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 s="1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W286"/>
      <c r="BX286"/>
      <c r="BY286"/>
      <c r="BZ286"/>
      <c r="CA286"/>
      <c r="CB286"/>
      <c r="CC286"/>
      <c r="CD286"/>
      <c r="CE286" s="2"/>
      <c r="CF286" s="2"/>
      <c r="CG286" s="2"/>
      <c r="CH286" s="2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 s="3"/>
      <c r="DK286"/>
      <c r="DL286"/>
      <c r="DM286"/>
    </row>
    <row r="287" spans="7:117" s="5" customFormat="1">
      <c r="G287" s="34"/>
      <c r="H287" s="10"/>
      <c r="I287" s="10"/>
      <c r="J287" s="6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 s="1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W287"/>
      <c r="BX287"/>
      <c r="BY287"/>
      <c r="BZ287"/>
      <c r="CA287"/>
      <c r="CB287"/>
      <c r="CC287"/>
      <c r="CD287"/>
      <c r="CE287" s="2"/>
      <c r="CF287" s="2"/>
      <c r="CG287" s="2"/>
      <c r="CH287" s="2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 s="3"/>
      <c r="DK287"/>
      <c r="DL287"/>
      <c r="DM287"/>
    </row>
    <row r="288" spans="7:117" s="5" customFormat="1">
      <c r="G288" s="34"/>
      <c r="H288" s="10"/>
      <c r="I288" s="10"/>
      <c r="J288" s="6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 s="1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W288"/>
      <c r="BX288"/>
      <c r="BY288"/>
      <c r="BZ288"/>
      <c r="CA288"/>
      <c r="CB288"/>
      <c r="CC288"/>
      <c r="CD288"/>
      <c r="CE288" s="2"/>
      <c r="CF288" s="2"/>
      <c r="CG288" s="2"/>
      <c r="CH288" s="2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 s="3"/>
      <c r="DK288"/>
      <c r="DL288"/>
      <c r="DM288"/>
    </row>
    <row r="289" spans="7:117" s="5" customFormat="1">
      <c r="G289" s="34"/>
      <c r="H289" s="10"/>
      <c r="I289" s="10"/>
      <c r="J289" s="6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 s="1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W289"/>
      <c r="BX289"/>
      <c r="BY289"/>
      <c r="BZ289"/>
      <c r="CA289"/>
      <c r="CB289"/>
      <c r="CC289"/>
      <c r="CD289"/>
      <c r="CE289" s="2"/>
      <c r="CF289" s="2"/>
      <c r="CG289" s="2"/>
      <c r="CH289" s="2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 s="3"/>
      <c r="DK289"/>
      <c r="DL289"/>
      <c r="DM289"/>
    </row>
    <row r="290" spans="7:117" s="5" customFormat="1">
      <c r="G290" s="34"/>
      <c r="H290" s="10"/>
      <c r="I290" s="10"/>
      <c r="J290" s="6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 s="1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W290"/>
      <c r="BX290"/>
      <c r="BY290"/>
      <c r="BZ290"/>
      <c r="CA290"/>
      <c r="CB290"/>
      <c r="CC290"/>
      <c r="CD290"/>
      <c r="CE290" s="2"/>
      <c r="CF290" s="2"/>
      <c r="CG290" s="2"/>
      <c r="CH290" s="2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 s="3"/>
      <c r="DK290"/>
      <c r="DL290"/>
      <c r="DM290"/>
    </row>
    <row r="291" spans="7:117" s="5" customFormat="1">
      <c r="G291" s="34"/>
      <c r="H291" s="10"/>
      <c r="I291" s="10"/>
      <c r="J291" s="6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 s="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W291"/>
      <c r="BX291"/>
      <c r="BY291"/>
      <c r="BZ291"/>
      <c r="CA291"/>
      <c r="CB291"/>
      <c r="CC291"/>
      <c r="CD291"/>
      <c r="CE291" s="2"/>
      <c r="CF291" s="2"/>
      <c r="CG291" s="2"/>
      <c r="CH291" s="2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 s="3"/>
      <c r="DK291"/>
      <c r="DL291"/>
      <c r="DM291"/>
    </row>
    <row r="292" spans="7:117" s="5" customFormat="1">
      <c r="G292" s="34"/>
      <c r="H292" s="10"/>
      <c r="I292" s="10"/>
      <c r="J292" s="6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 s="1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W292"/>
      <c r="BX292"/>
      <c r="BY292"/>
      <c r="BZ292"/>
      <c r="CA292"/>
      <c r="CB292"/>
      <c r="CC292"/>
      <c r="CD292"/>
      <c r="CE292" s="2"/>
      <c r="CF292" s="2"/>
      <c r="CG292" s="2"/>
      <c r="CH292" s="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 s="3"/>
      <c r="DK292"/>
      <c r="DL292"/>
      <c r="DM292"/>
    </row>
    <row r="293" spans="7:117" s="5" customFormat="1">
      <c r="G293" s="34"/>
      <c r="H293" s="10"/>
      <c r="I293" s="10"/>
      <c r="J293" s="6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 s="1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W293"/>
      <c r="BX293"/>
      <c r="BY293"/>
      <c r="BZ293"/>
      <c r="CA293"/>
      <c r="CB293"/>
      <c r="CC293"/>
      <c r="CD293"/>
      <c r="CE293" s="2"/>
      <c r="CF293" s="2"/>
      <c r="CG293" s="2"/>
      <c r="CH293" s="2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 s="3"/>
      <c r="DK293"/>
      <c r="DL293"/>
      <c r="DM293"/>
    </row>
    <row r="294" spans="7:117" s="5" customFormat="1">
      <c r="G294" s="34"/>
      <c r="H294" s="10"/>
      <c r="I294" s="10"/>
      <c r="J294" s="6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 s="1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W294"/>
      <c r="BX294"/>
      <c r="BY294"/>
      <c r="BZ294"/>
      <c r="CA294"/>
      <c r="CB294"/>
      <c r="CC294"/>
      <c r="CD294"/>
      <c r="CE294" s="2"/>
      <c r="CF294" s="2"/>
      <c r="CG294" s="2"/>
      <c r="CH294" s="2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 s="3"/>
      <c r="DK294"/>
      <c r="DL294"/>
      <c r="DM294"/>
    </row>
    <row r="295" spans="7:117" s="5" customFormat="1">
      <c r="G295" s="34"/>
      <c r="H295" s="10"/>
      <c r="I295" s="10"/>
      <c r="J295" s="6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 s="1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W295"/>
      <c r="BX295"/>
      <c r="BY295"/>
      <c r="BZ295"/>
      <c r="CA295"/>
      <c r="CB295"/>
      <c r="CC295"/>
      <c r="CD295"/>
      <c r="CE295" s="2"/>
      <c r="CF295" s="2"/>
      <c r="CG295" s="2"/>
      <c r="CH295" s="2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 s="3"/>
      <c r="DK295"/>
      <c r="DL295"/>
      <c r="DM295"/>
    </row>
    <row r="296" spans="7:117" s="5" customFormat="1">
      <c r="G296" s="34"/>
      <c r="H296" s="10"/>
      <c r="I296" s="10"/>
      <c r="J296" s="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 s="1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W296"/>
      <c r="BX296"/>
      <c r="BY296"/>
      <c r="BZ296"/>
      <c r="CA296"/>
      <c r="CB296"/>
      <c r="CC296"/>
      <c r="CD296"/>
      <c r="CE296" s="2"/>
      <c r="CF296" s="2"/>
      <c r="CG296" s="2"/>
      <c r="CH296" s="2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 s="3"/>
      <c r="DK296"/>
      <c r="DL296"/>
      <c r="DM296"/>
    </row>
    <row r="297" spans="7:117" s="5" customFormat="1">
      <c r="G297" s="34"/>
      <c r="H297" s="10"/>
      <c r="I297" s="10"/>
      <c r="J297" s="6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 s="1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W297"/>
      <c r="BX297"/>
      <c r="BY297"/>
      <c r="BZ297"/>
      <c r="CA297"/>
      <c r="CB297"/>
      <c r="CC297"/>
      <c r="CD297"/>
      <c r="CE297" s="2"/>
      <c r="CF297" s="2"/>
      <c r="CG297" s="2"/>
      <c r="CH297" s="2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 s="3"/>
      <c r="DK297"/>
      <c r="DL297"/>
      <c r="DM297"/>
    </row>
    <row r="298" spans="7:117" s="5" customFormat="1">
      <c r="G298" s="34"/>
      <c r="H298" s="10"/>
      <c r="I298" s="10"/>
      <c r="J298" s="6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 s="1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W298"/>
      <c r="BX298"/>
      <c r="BY298"/>
      <c r="BZ298"/>
      <c r="CA298"/>
      <c r="CB298"/>
      <c r="CC298"/>
      <c r="CD298"/>
      <c r="CE298" s="2"/>
      <c r="CF298" s="2"/>
      <c r="CG298" s="2"/>
      <c r="CH298" s="2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 s="3"/>
      <c r="DK298"/>
      <c r="DL298"/>
      <c r="DM298"/>
    </row>
    <row r="299" spans="7:117" s="5" customFormat="1">
      <c r="G299" s="34"/>
      <c r="H299" s="10"/>
      <c r="I299" s="10"/>
      <c r="J299" s="6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 s="1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W299"/>
      <c r="BX299"/>
      <c r="BY299"/>
      <c r="BZ299"/>
      <c r="CA299"/>
      <c r="CB299"/>
      <c r="CC299"/>
      <c r="CD299"/>
      <c r="CE299" s="2"/>
      <c r="CF299" s="2"/>
      <c r="CG299" s="2"/>
      <c r="CH299" s="2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 s="3"/>
      <c r="DK299"/>
      <c r="DL299"/>
      <c r="DM299"/>
    </row>
    <row r="300" spans="7:117" s="5" customFormat="1">
      <c r="G300" s="34"/>
      <c r="H300" s="10"/>
      <c r="I300" s="10"/>
      <c r="J300" s="6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 s="1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W300"/>
      <c r="BX300"/>
      <c r="BY300"/>
      <c r="BZ300"/>
      <c r="CA300"/>
      <c r="CB300"/>
      <c r="CC300"/>
      <c r="CD300"/>
      <c r="CE300" s="2"/>
      <c r="CF300" s="2"/>
      <c r="CG300" s="2"/>
      <c r="CH300" s="2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 s="3"/>
      <c r="DK300"/>
      <c r="DL300"/>
      <c r="DM300"/>
    </row>
    <row r="301" spans="7:117" s="5" customFormat="1">
      <c r="G301" s="34"/>
      <c r="H301" s="10"/>
      <c r="I301" s="10"/>
      <c r="J301" s="6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 s="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W301"/>
      <c r="BX301"/>
      <c r="BY301"/>
      <c r="BZ301"/>
      <c r="CA301"/>
      <c r="CB301"/>
      <c r="CC301"/>
      <c r="CD301"/>
      <c r="CE301" s="2"/>
      <c r="CF301" s="2"/>
      <c r="CG301" s="2"/>
      <c r="CH301" s="2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 s="3"/>
      <c r="DK301"/>
      <c r="DL301"/>
      <c r="DM301"/>
    </row>
    <row r="302" spans="7:117" s="5" customFormat="1">
      <c r="G302" s="34"/>
      <c r="H302" s="10"/>
      <c r="I302" s="10"/>
      <c r="J302" s="6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 s="1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W302"/>
      <c r="BX302"/>
      <c r="BY302"/>
      <c r="BZ302"/>
      <c r="CA302"/>
      <c r="CB302"/>
      <c r="CC302"/>
      <c r="CD302"/>
      <c r="CE302" s="2"/>
      <c r="CF302" s="2"/>
      <c r="CG302" s="2"/>
      <c r="CH302" s="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 s="3"/>
      <c r="DK302"/>
      <c r="DL302"/>
      <c r="DM302"/>
    </row>
    <row r="303" spans="7:117" s="5" customFormat="1">
      <c r="G303" s="34"/>
      <c r="H303" s="10"/>
      <c r="I303" s="10"/>
      <c r="J303" s="6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 s="1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W303"/>
      <c r="BX303"/>
      <c r="BY303"/>
      <c r="BZ303"/>
      <c r="CA303"/>
      <c r="CB303"/>
      <c r="CC303"/>
      <c r="CD303"/>
      <c r="CE303" s="2"/>
      <c r="CF303" s="2"/>
      <c r="CG303" s="2"/>
      <c r="CH303" s="2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 s="3"/>
      <c r="DK303"/>
      <c r="DL303"/>
      <c r="DM303"/>
    </row>
    <row r="304" spans="7:117" s="5" customFormat="1">
      <c r="G304" s="34"/>
      <c r="H304" s="10"/>
      <c r="I304" s="10"/>
      <c r="J304" s="6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 s="1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W304"/>
      <c r="BX304"/>
      <c r="BY304"/>
      <c r="BZ304"/>
      <c r="CA304"/>
      <c r="CB304"/>
      <c r="CC304"/>
      <c r="CD304"/>
      <c r="CE304" s="2"/>
      <c r="CF304" s="2"/>
      <c r="CG304" s="2"/>
      <c r="CH304" s="2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 s="3"/>
      <c r="DK304"/>
      <c r="DL304"/>
      <c r="DM304"/>
    </row>
    <row r="305" spans="7:117" s="5" customFormat="1">
      <c r="G305" s="34"/>
      <c r="H305" s="10"/>
      <c r="I305" s="10"/>
      <c r="J305" s="6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 s="1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W305"/>
      <c r="BX305"/>
      <c r="BY305"/>
      <c r="BZ305"/>
      <c r="CA305"/>
      <c r="CB305"/>
      <c r="CC305"/>
      <c r="CD305"/>
      <c r="CE305" s="2"/>
      <c r="CF305" s="2"/>
      <c r="CG305" s="2"/>
      <c r="CH305" s="2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 s="3"/>
      <c r="DK305"/>
      <c r="DL305"/>
      <c r="DM305"/>
    </row>
    <row r="306" spans="7:117" s="5" customFormat="1">
      <c r="G306" s="34"/>
      <c r="H306" s="10"/>
      <c r="I306" s="10"/>
      <c r="J306" s="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 s="1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W306"/>
      <c r="BX306"/>
      <c r="BY306"/>
      <c r="BZ306"/>
      <c r="CA306"/>
      <c r="CB306"/>
      <c r="CC306"/>
      <c r="CD306"/>
      <c r="CE306" s="2"/>
      <c r="CF306" s="2"/>
      <c r="CG306" s="2"/>
      <c r="CH306" s="2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 s="3"/>
      <c r="DK306"/>
      <c r="DL306"/>
      <c r="DM306"/>
    </row>
    <row r="307" spans="7:117" s="5" customFormat="1">
      <c r="G307" s="34"/>
      <c r="H307" s="10"/>
      <c r="I307" s="10"/>
      <c r="J307" s="6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 s="1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W307"/>
      <c r="BX307"/>
      <c r="BY307"/>
      <c r="BZ307"/>
      <c r="CA307"/>
      <c r="CB307"/>
      <c r="CC307"/>
      <c r="CD307"/>
      <c r="CE307" s="2"/>
      <c r="CF307" s="2"/>
      <c r="CG307" s="2"/>
      <c r="CH307" s="2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 s="3"/>
      <c r="DK307"/>
      <c r="DL307"/>
      <c r="DM307"/>
    </row>
    <row r="308" spans="7:117" s="5" customFormat="1">
      <c r="G308" s="34"/>
      <c r="H308" s="10"/>
      <c r="I308" s="10"/>
      <c r="J308" s="6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 s="1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W308"/>
      <c r="BX308"/>
      <c r="BY308"/>
      <c r="BZ308"/>
      <c r="CA308"/>
      <c r="CB308"/>
      <c r="CC308"/>
      <c r="CD308"/>
      <c r="CE308" s="2"/>
      <c r="CF308" s="2"/>
      <c r="CG308" s="2"/>
      <c r="CH308" s="2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 s="3"/>
      <c r="DK308"/>
      <c r="DL308"/>
      <c r="DM308"/>
    </row>
    <row r="309" spans="7:117" s="5" customFormat="1">
      <c r="G309" s="34"/>
      <c r="H309" s="10"/>
      <c r="I309" s="10"/>
      <c r="J309" s="6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 s="1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W309"/>
      <c r="BX309"/>
      <c r="BY309"/>
      <c r="BZ309"/>
      <c r="CA309"/>
      <c r="CB309"/>
      <c r="CC309"/>
      <c r="CD309"/>
      <c r="CE309" s="2"/>
      <c r="CF309" s="2"/>
      <c r="CG309" s="2"/>
      <c r="CH309" s="2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 s="3"/>
      <c r="DK309"/>
      <c r="DL309"/>
      <c r="DM309"/>
    </row>
    <row r="310" spans="7:117" s="5" customFormat="1">
      <c r="G310" s="34"/>
      <c r="H310" s="10"/>
      <c r="I310" s="10"/>
      <c r="J310" s="6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 s="1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W310"/>
      <c r="BX310"/>
      <c r="BY310"/>
      <c r="BZ310"/>
      <c r="CA310"/>
      <c r="CB310"/>
      <c r="CC310"/>
      <c r="CD310"/>
      <c r="CE310" s="2"/>
      <c r="CF310" s="2"/>
      <c r="CG310" s="2"/>
      <c r="CH310" s="2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 s="3"/>
      <c r="DK310"/>
      <c r="DL310"/>
      <c r="DM310"/>
    </row>
    <row r="311" spans="7:117" s="5" customFormat="1">
      <c r="G311" s="34"/>
      <c r="H311" s="10"/>
      <c r="I311" s="10"/>
      <c r="J311" s="6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 s="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W311"/>
      <c r="BX311"/>
      <c r="BY311"/>
      <c r="BZ311"/>
      <c r="CA311"/>
      <c r="CB311"/>
      <c r="CC311"/>
      <c r="CD311"/>
      <c r="CE311" s="2"/>
      <c r="CF311" s="2"/>
      <c r="CG311" s="2"/>
      <c r="CH311" s="2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 s="3"/>
      <c r="DK311"/>
      <c r="DL311"/>
      <c r="DM311"/>
    </row>
    <row r="312" spans="7:117" s="5" customFormat="1">
      <c r="G312" s="34"/>
      <c r="H312" s="10"/>
      <c r="I312" s="10"/>
      <c r="J312" s="6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 s="1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W312"/>
      <c r="BX312"/>
      <c r="BY312"/>
      <c r="BZ312"/>
      <c r="CA312"/>
      <c r="CB312"/>
      <c r="CC312"/>
      <c r="CD312"/>
      <c r="CE312" s="2"/>
      <c r="CF312" s="2"/>
      <c r="CG312" s="2"/>
      <c r="CH312" s="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 s="3"/>
      <c r="DK312"/>
      <c r="DL312"/>
      <c r="DM312"/>
    </row>
    <row r="313" spans="7:117" s="5" customFormat="1">
      <c r="G313" s="34"/>
      <c r="H313" s="10"/>
      <c r="I313" s="10"/>
      <c r="J313" s="6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 s="1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W313"/>
      <c r="BX313"/>
      <c r="BY313"/>
      <c r="BZ313"/>
      <c r="CA313"/>
      <c r="CB313"/>
      <c r="CC313"/>
      <c r="CD313"/>
      <c r="CE313" s="2"/>
      <c r="CF313" s="2"/>
      <c r="CG313" s="2"/>
      <c r="CH313" s="2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 s="3"/>
      <c r="DK313"/>
      <c r="DL313"/>
      <c r="DM313"/>
    </row>
    <row r="314" spans="7:117" s="5" customFormat="1">
      <c r="G314" s="34"/>
      <c r="H314" s="10"/>
      <c r="I314" s="10"/>
      <c r="J314" s="6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 s="1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W314"/>
      <c r="BX314"/>
      <c r="BY314"/>
      <c r="BZ314"/>
      <c r="CA314"/>
      <c r="CB314"/>
      <c r="CC314"/>
      <c r="CD314"/>
      <c r="CE314" s="2"/>
      <c r="CF314" s="2"/>
      <c r="CG314" s="2"/>
      <c r="CH314" s="2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 s="3"/>
      <c r="DK314"/>
      <c r="DL314"/>
      <c r="DM314"/>
    </row>
    <row r="315" spans="7:117" s="5" customFormat="1">
      <c r="G315" s="34"/>
      <c r="H315" s="10"/>
      <c r="I315" s="10"/>
      <c r="J315" s="6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 s="1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W315"/>
      <c r="BX315"/>
      <c r="BY315"/>
      <c r="BZ315"/>
      <c r="CA315"/>
      <c r="CB315"/>
      <c r="CC315"/>
      <c r="CD315"/>
      <c r="CE315" s="2"/>
      <c r="CF315" s="2"/>
      <c r="CG315" s="2"/>
      <c r="CH315" s="2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 s="3"/>
      <c r="DK315"/>
      <c r="DL315"/>
      <c r="DM315"/>
    </row>
    <row r="316" spans="7:117" s="5" customFormat="1">
      <c r="G316" s="34"/>
      <c r="H316" s="10"/>
      <c r="I316" s="10"/>
      <c r="J316" s="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 s="1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W316"/>
      <c r="BX316"/>
      <c r="BY316"/>
      <c r="BZ316"/>
      <c r="CA316"/>
      <c r="CB316"/>
      <c r="CC316"/>
      <c r="CD316"/>
      <c r="CE316" s="2"/>
      <c r="CF316" s="2"/>
      <c r="CG316" s="2"/>
      <c r="CH316" s="2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 s="3"/>
      <c r="DK316"/>
      <c r="DL316"/>
      <c r="DM316"/>
    </row>
    <row r="317" spans="7:117" s="5" customFormat="1">
      <c r="G317" s="34"/>
      <c r="H317" s="10"/>
      <c r="I317" s="10"/>
      <c r="J317" s="6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 s="1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W317"/>
      <c r="BX317"/>
      <c r="BY317"/>
      <c r="BZ317"/>
      <c r="CA317"/>
      <c r="CB317"/>
      <c r="CC317"/>
      <c r="CD317"/>
      <c r="CE317" s="2"/>
      <c r="CF317" s="2"/>
      <c r="CG317" s="2"/>
      <c r="CH317" s="2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 s="3"/>
      <c r="DK317"/>
      <c r="DL317"/>
      <c r="DM317"/>
    </row>
    <row r="318" spans="7:117" s="5" customFormat="1">
      <c r="G318" s="34"/>
      <c r="H318" s="10"/>
      <c r="I318" s="10"/>
      <c r="J318" s="6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 s="1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W318"/>
      <c r="BX318"/>
      <c r="BY318"/>
      <c r="BZ318"/>
      <c r="CA318"/>
      <c r="CB318"/>
      <c r="CC318"/>
      <c r="CD318"/>
      <c r="CE318" s="2"/>
      <c r="CF318" s="2"/>
      <c r="CG318" s="2"/>
      <c r="CH318" s="2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 s="3"/>
      <c r="DK318"/>
      <c r="DL318"/>
      <c r="DM318"/>
    </row>
    <row r="319" spans="7:117" s="5" customFormat="1">
      <c r="G319" s="34"/>
      <c r="H319" s="10"/>
      <c r="I319" s="10"/>
      <c r="J319" s="6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 s="1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W319"/>
      <c r="BX319"/>
      <c r="BY319"/>
      <c r="BZ319"/>
      <c r="CA319"/>
      <c r="CB319"/>
      <c r="CC319"/>
      <c r="CD319"/>
      <c r="CE319" s="2"/>
      <c r="CF319" s="2"/>
      <c r="CG319" s="2"/>
      <c r="CH319" s="2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 s="3"/>
      <c r="DK319"/>
      <c r="DL319"/>
      <c r="DM319"/>
    </row>
    <row r="320" spans="7:117" s="5" customFormat="1">
      <c r="G320" s="34"/>
      <c r="H320" s="10"/>
      <c r="I320" s="10"/>
      <c r="J320" s="6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 s="1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W320"/>
      <c r="BX320"/>
      <c r="BY320"/>
      <c r="BZ320"/>
      <c r="CA320"/>
      <c r="CB320"/>
      <c r="CC320"/>
      <c r="CD320"/>
      <c r="CE320" s="2"/>
      <c r="CF320" s="2"/>
      <c r="CG320" s="2"/>
      <c r="CH320" s="2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 s="3"/>
      <c r="DK320"/>
      <c r="DL320"/>
      <c r="DM320"/>
    </row>
    <row r="321" spans="7:117" s="5" customFormat="1">
      <c r="G321" s="34"/>
      <c r="H321" s="10"/>
      <c r="I321" s="10"/>
      <c r="J321" s="6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 s="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W321"/>
      <c r="BX321"/>
      <c r="BY321"/>
      <c r="BZ321"/>
      <c r="CA321"/>
      <c r="CB321"/>
      <c r="CC321"/>
      <c r="CD321"/>
      <c r="CE321" s="2"/>
      <c r="CF321" s="2"/>
      <c r="CG321" s="2"/>
      <c r="CH321" s="2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 s="3"/>
      <c r="DK321"/>
      <c r="DL321"/>
      <c r="DM321"/>
    </row>
    <row r="322" spans="7:117" s="5" customFormat="1">
      <c r="G322" s="34"/>
      <c r="H322" s="10"/>
      <c r="I322" s="10"/>
      <c r="J322" s="6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 s="1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W322"/>
      <c r="BX322"/>
      <c r="BY322"/>
      <c r="BZ322"/>
      <c r="CA322"/>
      <c r="CB322"/>
      <c r="CC322"/>
      <c r="CD322"/>
      <c r="CE322" s="2"/>
      <c r="CF322" s="2"/>
      <c r="CG322" s="2"/>
      <c r="CH322" s="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 s="3"/>
      <c r="DK322"/>
      <c r="DL322"/>
      <c r="DM322"/>
    </row>
    <row r="323" spans="7:117" s="5" customFormat="1">
      <c r="G323" s="34"/>
      <c r="H323" s="10"/>
      <c r="I323" s="10"/>
      <c r="J323" s="6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 s="1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W323"/>
      <c r="BX323"/>
      <c r="BY323"/>
      <c r="BZ323"/>
      <c r="CA323"/>
      <c r="CB323"/>
      <c r="CC323"/>
      <c r="CD323"/>
      <c r="CE323" s="2"/>
      <c r="CF323" s="2"/>
      <c r="CG323" s="2"/>
      <c r="CH323" s="2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 s="3"/>
      <c r="DK323"/>
      <c r="DL323"/>
      <c r="DM323"/>
    </row>
    <row r="324" spans="7:117" s="5" customFormat="1">
      <c r="G324" s="34"/>
      <c r="H324" s="10"/>
      <c r="I324" s="10"/>
      <c r="J324" s="6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 s="1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W324"/>
      <c r="BX324"/>
      <c r="BY324"/>
      <c r="BZ324"/>
      <c r="CA324"/>
      <c r="CB324"/>
      <c r="CC324"/>
      <c r="CD324"/>
      <c r="CE324" s="2"/>
      <c r="CF324" s="2"/>
      <c r="CG324" s="2"/>
      <c r="CH324" s="2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 s="3"/>
      <c r="DK324"/>
      <c r="DL324"/>
      <c r="DM324"/>
    </row>
    <row r="325" spans="7:117" s="5" customFormat="1">
      <c r="G325" s="34"/>
      <c r="H325" s="10"/>
      <c r="I325" s="10"/>
      <c r="J325" s="6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 s="1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W325"/>
      <c r="BX325"/>
      <c r="BY325"/>
      <c r="BZ325"/>
      <c r="CA325"/>
      <c r="CB325"/>
      <c r="CC325"/>
      <c r="CD325"/>
      <c r="CE325" s="2"/>
      <c r="CF325" s="2"/>
      <c r="CG325" s="2"/>
      <c r="CH325" s="2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 s="3"/>
      <c r="DK325"/>
      <c r="DL325"/>
      <c r="DM325"/>
    </row>
    <row r="326" spans="7:117" s="5" customFormat="1">
      <c r="G326" s="34"/>
      <c r="H326" s="10"/>
      <c r="I326" s="10"/>
      <c r="J326" s="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 s="1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W326"/>
      <c r="BX326"/>
      <c r="BY326"/>
      <c r="BZ326"/>
      <c r="CA326"/>
      <c r="CB326"/>
      <c r="CC326"/>
      <c r="CD326"/>
      <c r="CE326" s="2"/>
      <c r="CF326" s="2"/>
      <c r="CG326" s="2"/>
      <c r="CH326" s="2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 s="3"/>
      <c r="DK326"/>
      <c r="DL326"/>
      <c r="DM326"/>
    </row>
    <row r="327" spans="7:117" s="5" customFormat="1">
      <c r="G327" s="34"/>
      <c r="H327" s="10"/>
      <c r="I327" s="10"/>
      <c r="J327" s="6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 s="1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W327"/>
      <c r="BX327"/>
      <c r="BY327"/>
      <c r="BZ327"/>
      <c r="CA327"/>
      <c r="CB327"/>
      <c r="CC327"/>
      <c r="CD327"/>
      <c r="CE327" s="2"/>
      <c r="CF327" s="2"/>
      <c r="CG327" s="2"/>
      <c r="CH327" s="2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 s="3"/>
      <c r="DK327"/>
      <c r="DL327"/>
      <c r="DM327"/>
    </row>
    <row r="328" spans="7:117" s="5" customFormat="1">
      <c r="G328" s="34"/>
      <c r="H328" s="10"/>
      <c r="I328" s="10"/>
      <c r="J328" s="6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 s="1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W328"/>
      <c r="BX328"/>
      <c r="BY328"/>
      <c r="BZ328"/>
      <c r="CA328"/>
      <c r="CB328"/>
      <c r="CC328"/>
      <c r="CD328"/>
      <c r="CE328" s="2"/>
      <c r="CF328" s="2"/>
      <c r="CG328" s="2"/>
      <c r="CH328" s="2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 s="3"/>
      <c r="DK328"/>
      <c r="DL328"/>
      <c r="DM328"/>
    </row>
    <row r="329" spans="7:117" s="5" customFormat="1">
      <c r="G329" s="34"/>
      <c r="H329" s="10"/>
      <c r="I329" s="10"/>
      <c r="J329" s="6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 s="1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W329"/>
      <c r="BX329"/>
      <c r="BY329"/>
      <c r="BZ329"/>
      <c r="CA329"/>
      <c r="CB329"/>
      <c r="CC329"/>
      <c r="CD329"/>
      <c r="CE329" s="2"/>
      <c r="CF329" s="2"/>
      <c r="CG329" s="2"/>
      <c r="CH329" s="2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 s="3"/>
      <c r="DK329"/>
      <c r="DL329"/>
      <c r="DM329"/>
    </row>
    <row r="330" spans="7:117" s="5" customFormat="1">
      <c r="G330" s="34"/>
      <c r="H330" s="10"/>
      <c r="I330" s="10"/>
      <c r="J330" s="6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 s="1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W330"/>
      <c r="BX330"/>
      <c r="BY330"/>
      <c r="BZ330"/>
      <c r="CA330"/>
      <c r="CB330"/>
      <c r="CC330"/>
      <c r="CD330"/>
      <c r="CE330" s="2"/>
      <c r="CF330" s="2"/>
      <c r="CG330" s="2"/>
      <c r="CH330" s="2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 s="3"/>
      <c r="DK330"/>
      <c r="DL330"/>
      <c r="DM330"/>
    </row>
    <row r="331" spans="7:117" s="5" customFormat="1">
      <c r="G331" s="34"/>
      <c r="H331" s="10"/>
      <c r="I331" s="10"/>
      <c r="J331" s="6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 s="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W331"/>
      <c r="BX331"/>
      <c r="BY331"/>
      <c r="BZ331"/>
      <c r="CA331"/>
      <c r="CB331"/>
      <c r="CC331"/>
      <c r="CD331"/>
      <c r="CE331" s="2"/>
      <c r="CF331" s="2"/>
      <c r="CG331" s="2"/>
      <c r="CH331" s="2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 s="3"/>
      <c r="DK331"/>
      <c r="DL331"/>
      <c r="DM331"/>
    </row>
    <row r="332" spans="7:117" s="5" customFormat="1">
      <c r="G332" s="34"/>
      <c r="H332" s="10"/>
      <c r="I332" s="10"/>
      <c r="J332" s="6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 s="1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W332"/>
      <c r="BX332"/>
      <c r="BY332"/>
      <c r="BZ332"/>
      <c r="CA332"/>
      <c r="CB332"/>
      <c r="CC332"/>
      <c r="CD332"/>
      <c r="CE332" s="2"/>
      <c r="CF332" s="2"/>
      <c r="CG332" s="2"/>
      <c r="CH332" s="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 s="3"/>
      <c r="DK332"/>
      <c r="DL332"/>
      <c r="DM332"/>
    </row>
    <row r="333" spans="7:117" s="5" customFormat="1">
      <c r="G333" s="34"/>
      <c r="H333" s="10"/>
      <c r="I333" s="10"/>
      <c r="J333" s="6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 s="1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W333"/>
      <c r="BX333"/>
      <c r="BY333"/>
      <c r="BZ333"/>
      <c r="CA333"/>
      <c r="CB333"/>
      <c r="CC333"/>
      <c r="CD333"/>
      <c r="CE333" s="2"/>
      <c r="CF333" s="2"/>
      <c r="CG333" s="2"/>
      <c r="CH333" s="2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 s="3"/>
      <c r="DK333"/>
      <c r="DL333"/>
      <c r="DM333"/>
    </row>
    <row r="334" spans="7:117" s="5" customFormat="1">
      <c r="G334" s="34"/>
      <c r="H334" s="10"/>
      <c r="I334" s="10"/>
      <c r="J334" s="6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 s="1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W334"/>
      <c r="BX334"/>
      <c r="BY334"/>
      <c r="BZ334"/>
      <c r="CA334"/>
      <c r="CB334"/>
      <c r="CC334"/>
      <c r="CD334"/>
      <c r="CE334" s="2"/>
      <c r="CF334" s="2"/>
      <c r="CG334" s="2"/>
      <c r="CH334" s="2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 s="3"/>
      <c r="DK334"/>
      <c r="DL334"/>
      <c r="DM334"/>
    </row>
    <row r="335" spans="7:117" s="5" customFormat="1">
      <c r="G335" s="34"/>
      <c r="H335" s="10"/>
      <c r="I335" s="10"/>
      <c r="J335" s="6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 s="1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W335"/>
      <c r="BX335"/>
      <c r="BY335"/>
      <c r="BZ335"/>
      <c r="CA335"/>
      <c r="CB335"/>
      <c r="CC335"/>
      <c r="CD335"/>
      <c r="CE335" s="2"/>
      <c r="CF335" s="2"/>
      <c r="CG335" s="2"/>
      <c r="CH335" s="2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 s="3"/>
      <c r="DK335"/>
      <c r="DL335"/>
      <c r="DM335"/>
    </row>
    <row r="336" spans="7:117" s="5" customFormat="1">
      <c r="G336" s="34"/>
      <c r="H336" s="10"/>
      <c r="I336" s="10"/>
      <c r="J336" s="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 s="1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W336"/>
      <c r="BX336"/>
      <c r="BY336"/>
      <c r="BZ336"/>
      <c r="CA336"/>
      <c r="CB336"/>
      <c r="CC336"/>
      <c r="CD336"/>
      <c r="CE336" s="2"/>
      <c r="CF336" s="2"/>
      <c r="CG336" s="2"/>
      <c r="CH336" s="2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 s="3"/>
      <c r="DK336"/>
      <c r="DL336"/>
      <c r="DM336"/>
    </row>
    <row r="337" spans="7:117" s="5" customFormat="1">
      <c r="G337" s="34"/>
      <c r="H337" s="10"/>
      <c r="I337" s="10"/>
      <c r="J337" s="6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 s="1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W337"/>
      <c r="BX337"/>
      <c r="BY337"/>
      <c r="BZ337"/>
      <c r="CA337"/>
      <c r="CB337"/>
      <c r="CC337"/>
      <c r="CD337"/>
      <c r="CE337" s="2"/>
      <c r="CF337" s="2"/>
      <c r="CG337" s="2"/>
      <c r="CH337" s="2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 s="3"/>
      <c r="DK337"/>
      <c r="DL337"/>
      <c r="DM337"/>
    </row>
    <row r="338" spans="7:117" s="5" customFormat="1">
      <c r="G338" s="34"/>
      <c r="H338" s="10"/>
      <c r="I338" s="10"/>
      <c r="J338" s="6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 s="1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W338"/>
      <c r="BX338"/>
      <c r="BY338"/>
      <c r="BZ338"/>
      <c r="CA338"/>
      <c r="CB338"/>
      <c r="CC338"/>
      <c r="CD338"/>
      <c r="CE338" s="2"/>
      <c r="CF338" s="2"/>
      <c r="CG338" s="2"/>
      <c r="CH338" s="2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 s="3"/>
      <c r="DK338"/>
      <c r="DL338"/>
      <c r="DM338"/>
    </row>
    <row r="339" spans="7:117" s="5" customFormat="1">
      <c r="G339" s="34"/>
      <c r="H339" s="10"/>
      <c r="I339" s="10"/>
      <c r="J339" s="6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 s="1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W339"/>
      <c r="BX339"/>
      <c r="BY339"/>
      <c r="BZ339"/>
      <c r="CA339"/>
      <c r="CB339"/>
      <c r="CC339"/>
      <c r="CD339"/>
      <c r="CE339" s="2"/>
      <c r="CF339" s="2"/>
      <c r="CG339" s="2"/>
      <c r="CH339" s="2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 s="3"/>
      <c r="DK339"/>
      <c r="DL339"/>
      <c r="DM339"/>
    </row>
    <row r="340" spans="7:117" s="5" customFormat="1">
      <c r="G340" s="34"/>
      <c r="H340" s="10"/>
      <c r="I340" s="10"/>
      <c r="J340" s="6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 s="1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W340"/>
      <c r="BX340"/>
      <c r="BY340"/>
      <c r="BZ340"/>
      <c r="CA340"/>
      <c r="CB340"/>
      <c r="CC340"/>
      <c r="CD340"/>
      <c r="CE340" s="2"/>
      <c r="CF340" s="2"/>
      <c r="CG340" s="2"/>
      <c r="CH340" s="2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 s="3"/>
      <c r="DK340"/>
      <c r="DL340"/>
      <c r="DM340"/>
    </row>
    <row r="341" spans="7:117" s="5" customFormat="1">
      <c r="G341" s="34"/>
      <c r="H341" s="10"/>
      <c r="I341" s="10"/>
      <c r="J341" s="6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 s="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W341"/>
      <c r="BX341"/>
      <c r="BY341"/>
      <c r="BZ341"/>
      <c r="CA341"/>
      <c r="CB341"/>
      <c r="CC341"/>
      <c r="CD341"/>
      <c r="CE341" s="2"/>
      <c r="CF341" s="2"/>
      <c r="CG341" s="2"/>
      <c r="CH341" s="2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 s="3"/>
      <c r="DK341"/>
      <c r="DL341"/>
      <c r="DM341"/>
    </row>
    <row r="342" spans="7:117" s="5" customFormat="1">
      <c r="G342" s="34"/>
      <c r="H342" s="10"/>
      <c r="I342" s="10"/>
      <c r="J342" s="6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 s="1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W342"/>
      <c r="BX342"/>
      <c r="BY342"/>
      <c r="BZ342"/>
      <c r="CA342"/>
      <c r="CB342"/>
      <c r="CC342"/>
      <c r="CD342"/>
      <c r="CE342" s="2"/>
      <c r="CF342" s="2"/>
      <c r="CG342" s="2"/>
      <c r="CH342" s="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 s="3"/>
      <c r="DK342"/>
      <c r="DL342"/>
      <c r="DM342"/>
    </row>
    <row r="343" spans="7:117" s="5" customFormat="1">
      <c r="G343" s="34"/>
      <c r="H343" s="10"/>
      <c r="I343" s="10"/>
      <c r="J343" s="6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 s="1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W343"/>
      <c r="BX343"/>
      <c r="BY343"/>
      <c r="BZ343"/>
      <c r="CA343"/>
      <c r="CB343"/>
      <c r="CC343"/>
      <c r="CD343"/>
      <c r="CE343" s="2"/>
      <c r="CF343" s="2"/>
      <c r="CG343" s="2"/>
      <c r="CH343" s="2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 s="3"/>
      <c r="DK343"/>
      <c r="DL343"/>
      <c r="DM343"/>
    </row>
    <row r="344" spans="7:117" s="5" customFormat="1">
      <c r="G344" s="34"/>
      <c r="H344" s="10"/>
      <c r="I344" s="10"/>
      <c r="J344" s="6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 s="1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W344"/>
      <c r="BX344"/>
      <c r="BY344"/>
      <c r="BZ344"/>
      <c r="CA344"/>
      <c r="CB344"/>
      <c r="CC344"/>
      <c r="CD344"/>
      <c r="CE344" s="2"/>
      <c r="CF344" s="2"/>
      <c r="CG344" s="2"/>
      <c r="CH344" s="2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 s="3"/>
      <c r="DK344"/>
      <c r="DL344"/>
      <c r="DM344"/>
    </row>
    <row r="345" spans="7:117" s="5" customFormat="1">
      <c r="G345" s="34"/>
      <c r="H345" s="10"/>
      <c r="I345" s="10"/>
      <c r="J345" s="6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 s="1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W345"/>
      <c r="BX345"/>
      <c r="BY345"/>
      <c r="BZ345"/>
      <c r="CA345"/>
      <c r="CB345"/>
      <c r="CC345"/>
      <c r="CD345"/>
      <c r="CE345" s="2"/>
      <c r="CF345" s="2"/>
      <c r="CG345" s="2"/>
      <c r="CH345" s="2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 s="3"/>
      <c r="DK345"/>
      <c r="DL345"/>
      <c r="DM345"/>
    </row>
    <row r="346" spans="7:117" s="5" customFormat="1">
      <c r="G346" s="34"/>
      <c r="H346" s="10"/>
      <c r="I346" s="10"/>
      <c r="J346" s="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 s="1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W346"/>
      <c r="BX346"/>
      <c r="BY346"/>
      <c r="BZ346"/>
      <c r="CA346"/>
      <c r="CB346"/>
      <c r="CC346"/>
      <c r="CD346"/>
      <c r="CE346" s="2"/>
      <c r="CF346" s="2"/>
      <c r="CG346" s="2"/>
      <c r="CH346" s="2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 s="3"/>
      <c r="DK346"/>
      <c r="DL346"/>
      <c r="DM346"/>
    </row>
    <row r="347" spans="7:117" s="5" customFormat="1">
      <c r="G347" s="34"/>
      <c r="H347" s="10"/>
      <c r="I347" s="10"/>
      <c r="J347" s="6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 s="1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W347"/>
      <c r="BX347"/>
      <c r="BY347"/>
      <c r="BZ347"/>
      <c r="CA347"/>
      <c r="CB347"/>
      <c r="CC347"/>
      <c r="CD347"/>
      <c r="CE347" s="2"/>
      <c r="CF347" s="2"/>
      <c r="CG347" s="2"/>
      <c r="CH347" s="2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 s="3"/>
      <c r="DK347"/>
      <c r="DL347"/>
      <c r="DM347"/>
    </row>
    <row r="348" spans="7:117" s="5" customFormat="1">
      <c r="G348" s="34"/>
      <c r="H348" s="10"/>
      <c r="I348" s="10"/>
      <c r="J348" s="6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 s="1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W348"/>
      <c r="BX348"/>
      <c r="BY348"/>
      <c r="BZ348"/>
      <c r="CA348"/>
      <c r="CB348"/>
      <c r="CC348"/>
      <c r="CD348"/>
      <c r="CE348" s="2"/>
      <c r="CF348" s="2"/>
      <c r="CG348" s="2"/>
      <c r="CH348" s="2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 s="3"/>
      <c r="DK348"/>
      <c r="DL348"/>
      <c r="DM348"/>
    </row>
    <row r="349" spans="7:117" s="5" customFormat="1">
      <c r="G349" s="34"/>
      <c r="H349" s="10"/>
      <c r="I349" s="10"/>
      <c r="J349" s="6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 s="1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W349"/>
      <c r="BX349"/>
      <c r="BY349"/>
      <c r="BZ349"/>
      <c r="CA349"/>
      <c r="CB349"/>
      <c r="CC349"/>
      <c r="CD349"/>
      <c r="CE349" s="2"/>
      <c r="CF349" s="2"/>
      <c r="CG349" s="2"/>
      <c r="CH349" s="2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 s="3"/>
      <c r="DK349"/>
      <c r="DL349"/>
      <c r="DM349"/>
    </row>
    <row r="350" spans="7:117" s="5" customFormat="1">
      <c r="G350" s="34"/>
      <c r="H350" s="10"/>
      <c r="I350" s="10"/>
      <c r="J350" s="6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 s="1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W350"/>
      <c r="BX350"/>
      <c r="BY350"/>
      <c r="BZ350"/>
      <c r="CA350"/>
      <c r="CB350"/>
      <c r="CC350"/>
      <c r="CD350"/>
      <c r="CE350" s="2"/>
      <c r="CF350" s="2"/>
      <c r="CG350" s="2"/>
      <c r="CH350" s="2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 s="3"/>
      <c r="DK350"/>
      <c r="DL350"/>
      <c r="DM350"/>
    </row>
    <row r="351" spans="7:117" s="5" customFormat="1">
      <c r="G351" s="34"/>
      <c r="H351" s="10"/>
      <c r="I351" s="10"/>
      <c r="J351" s="6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 s="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W351"/>
      <c r="BX351"/>
      <c r="BY351"/>
      <c r="BZ351"/>
      <c r="CA351"/>
      <c r="CB351"/>
      <c r="CC351"/>
      <c r="CD351"/>
      <c r="CE351" s="2"/>
      <c r="CF351" s="2"/>
      <c r="CG351" s="2"/>
      <c r="CH351" s="2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 s="3"/>
      <c r="DK351"/>
      <c r="DL351"/>
      <c r="DM351"/>
    </row>
    <row r="352" spans="7:117" s="5" customFormat="1">
      <c r="G352" s="34"/>
      <c r="H352" s="10"/>
      <c r="I352" s="10"/>
      <c r="J352" s="6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 s="1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W352"/>
      <c r="BX352"/>
      <c r="BY352"/>
      <c r="BZ352"/>
      <c r="CA352"/>
      <c r="CB352"/>
      <c r="CC352"/>
      <c r="CD352"/>
      <c r="CE352" s="2"/>
      <c r="CF352" s="2"/>
      <c r="CG352" s="2"/>
      <c r="CH352" s="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 s="3"/>
      <c r="DK352"/>
      <c r="DL352"/>
      <c r="DM352"/>
    </row>
    <row r="353" spans="7:117" s="5" customFormat="1">
      <c r="G353" s="34"/>
      <c r="H353" s="10"/>
      <c r="I353" s="10"/>
      <c r="J353" s="6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 s="1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W353"/>
      <c r="BX353"/>
      <c r="BY353"/>
      <c r="BZ353"/>
      <c r="CA353"/>
      <c r="CB353"/>
      <c r="CC353"/>
      <c r="CD353"/>
      <c r="CE353" s="2"/>
      <c r="CF353" s="2"/>
      <c r="CG353" s="2"/>
      <c r="CH353" s="2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 s="3"/>
      <c r="DK353"/>
      <c r="DL353"/>
      <c r="DM353"/>
    </row>
    <row r="354" spans="7:117" s="5" customFormat="1">
      <c r="G354" s="34"/>
      <c r="H354" s="10"/>
      <c r="I354" s="10"/>
      <c r="J354" s="6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 s="1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W354"/>
      <c r="BX354"/>
      <c r="BY354"/>
      <c r="BZ354"/>
      <c r="CA354"/>
      <c r="CB354"/>
      <c r="CC354"/>
      <c r="CD354"/>
      <c r="CE354" s="2"/>
      <c r="CF354" s="2"/>
      <c r="CG354" s="2"/>
      <c r="CH354" s="2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 s="3"/>
      <c r="DK354"/>
      <c r="DL354"/>
      <c r="DM354"/>
    </row>
    <row r="355" spans="7:117" s="5" customFormat="1">
      <c r="G355" s="34"/>
      <c r="H355" s="10"/>
      <c r="I355" s="10"/>
      <c r="J355" s="6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 s="1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W355"/>
      <c r="BX355"/>
      <c r="BY355"/>
      <c r="BZ355"/>
      <c r="CA355"/>
      <c r="CB355"/>
      <c r="CC355"/>
      <c r="CD355"/>
      <c r="CE355" s="2"/>
      <c r="CF355" s="2"/>
      <c r="CG355" s="2"/>
      <c r="CH355" s="2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 s="3"/>
      <c r="DK355"/>
      <c r="DL355"/>
      <c r="DM355"/>
    </row>
    <row r="356" spans="7:117" s="5" customFormat="1">
      <c r="G356" s="34"/>
      <c r="H356" s="10"/>
      <c r="I356" s="10"/>
      <c r="J356" s="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 s="1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W356"/>
      <c r="BX356"/>
      <c r="BY356"/>
      <c r="BZ356"/>
      <c r="CA356"/>
      <c r="CB356"/>
      <c r="CC356"/>
      <c r="CD356"/>
      <c r="CE356" s="2"/>
      <c r="CF356" s="2"/>
      <c r="CG356" s="2"/>
      <c r="CH356" s="2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 s="3"/>
      <c r="DK356"/>
      <c r="DL356"/>
      <c r="DM356"/>
    </row>
    <row r="357" spans="7:117" s="5" customFormat="1">
      <c r="G357" s="34"/>
      <c r="H357" s="10"/>
      <c r="I357" s="10"/>
      <c r="J357" s="6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 s="1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W357"/>
      <c r="BX357"/>
      <c r="BY357"/>
      <c r="BZ357"/>
      <c r="CA357"/>
      <c r="CB357"/>
      <c r="CC357"/>
      <c r="CD357"/>
      <c r="CE357" s="2"/>
      <c r="CF357" s="2"/>
      <c r="CG357" s="2"/>
      <c r="CH357" s="2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 s="3"/>
      <c r="DK357"/>
      <c r="DL357"/>
      <c r="DM357"/>
    </row>
    <row r="358" spans="7:117" s="5" customFormat="1">
      <c r="G358" s="34"/>
      <c r="H358" s="10"/>
      <c r="I358" s="10"/>
      <c r="J358" s="6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 s="1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W358"/>
      <c r="BX358"/>
      <c r="BY358"/>
      <c r="BZ358"/>
      <c r="CA358"/>
      <c r="CB358"/>
      <c r="CC358"/>
      <c r="CD358"/>
      <c r="CE358" s="2"/>
      <c r="CF358" s="2"/>
      <c r="CG358" s="2"/>
      <c r="CH358" s="2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 s="3"/>
      <c r="DK358"/>
      <c r="DL358"/>
      <c r="DM358"/>
    </row>
    <row r="359" spans="7:117" s="5" customFormat="1">
      <c r="G359" s="34"/>
      <c r="H359" s="10"/>
      <c r="I359" s="10"/>
      <c r="J359" s="6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 s="1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W359"/>
      <c r="BX359"/>
      <c r="BY359"/>
      <c r="BZ359"/>
      <c r="CA359"/>
      <c r="CB359"/>
      <c r="CC359"/>
      <c r="CD359"/>
      <c r="CE359" s="2"/>
      <c r="CF359" s="2"/>
      <c r="CG359" s="2"/>
      <c r="CH359" s="2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 s="3"/>
      <c r="DK359"/>
      <c r="DL359"/>
      <c r="DM359"/>
    </row>
    <row r="360" spans="7:117" s="5" customFormat="1">
      <c r="G360" s="34"/>
      <c r="H360" s="10"/>
      <c r="I360" s="10"/>
      <c r="J360" s="6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 s="1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W360"/>
      <c r="BX360"/>
      <c r="BY360"/>
      <c r="BZ360"/>
      <c r="CA360"/>
      <c r="CB360"/>
      <c r="CC360"/>
      <c r="CD360"/>
      <c r="CE360" s="2"/>
      <c r="CF360" s="2"/>
      <c r="CG360" s="2"/>
      <c r="CH360" s="2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 s="3"/>
      <c r="DK360"/>
      <c r="DL360"/>
      <c r="DM360"/>
    </row>
    <row r="361" spans="7:117" s="5" customFormat="1">
      <c r="G361" s="34"/>
      <c r="H361" s="10"/>
      <c r="I361" s="10"/>
      <c r="J361" s="6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 s="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W361"/>
      <c r="BX361"/>
      <c r="BY361"/>
      <c r="BZ361"/>
      <c r="CA361"/>
      <c r="CB361"/>
      <c r="CC361"/>
      <c r="CD361"/>
      <c r="CE361" s="2"/>
      <c r="CF361" s="2"/>
      <c r="CG361" s="2"/>
      <c r="CH361" s="2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 s="3"/>
      <c r="DK361"/>
      <c r="DL361"/>
      <c r="DM361"/>
    </row>
    <row r="362" spans="7:117" s="5" customFormat="1">
      <c r="G362" s="34"/>
      <c r="H362" s="10"/>
      <c r="I362" s="10"/>
      <c r="J362" s="6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 s="1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W362"/>
      <c r="BX362"/>
      <c r="BY362"/>
      <c r="BZ362"/>
      <c r="CA362"/>
      <c r="CB362"/>
      <c r="CC362"/>
      <c r="CD362"/>
      <c r="CE362" s="2"/>
      <c r="CF362" s="2"/>
      <c r="CG362" s="2"/>
      <c r="CH362" s="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 s="3"/>
      <c r="DK362"/>
      <c r="DL362"/>
      <c r="DM362"/>
    </row>
    <row r="363" spans="7:117" s="5" customFormat="1">
      <c r="G363" s="34"/>
      <c r="H363" s="10"/>
      <c r="I363" s="10"/>
      <c r="J363" s="6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 s="1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W363"/>
      <c r="BX363"/>
      <c r="BY363"/>
      <c r="BZ363"/>
      <c r="CA363"/>
      <c r="CB363"/>
      <c r="CC363"/>
      <c r="CD363"/>
      <c r="CE363" s="2"/>
      <c r="CF363" s="2"/>
      <c r="CG363" s="2"/>
      <c r="CH363" s="2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 s="3"/>
      <c r="DK363"/>
      <c r="DL363"/>
      <c r="DM363"/>
    </row>
    <row r="364" spans="7:117" s="5" customFormat="1">
      <c r="G364" s="34"/>
      <c r="H364" s="10"/>
      <c r="I364" s="10"/>
      <c r="J364" s="6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 s="1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W364"/>
      <c r="BX364"/>
      <c r="BY364"/>
      <c r="BZ364"/>
      <c r="CA364"/>
      <c r="CB364"/>
      <c r="CC364"/>
      <c r="CD364"/>
      <c r="CE364" s="2"/>
      <c r="CF364" s="2"/>
      <c r="CG364" s="2"/>
      <c r="CH364" s="2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 s="3"/>
      <c r="DK364"/>
      <c r="DL364"/>
      <c r="DM364"/>
    </row>
    <row r="365" spans="7:117" s="5" customFormat="1">
      <c r="G365" s="34"/>
      <c r="H365" s="10"/>
      <c r="I365" s="10"/>
      <c r="J365" s="6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 s="1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W365"/>
      <c r="BX365"/>
      <c r="BY365"/>
      <c r="BZ365"/>
      <c r="CA365"/>
      <c r="CB365"/>
      <c r="CC365"/>
      <c r="CD365"/>
      <c r="CE365" s="2"/>
      <c r="CF365" s="2"/>
      <c r="CG365" s="2"/>
      <c r="CH365" s="2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 s="3"/>
      <c r="DK365"/>
      <c r="DL365"/>
      <c r="DM365"/>
    </row>
    <row r="366" spans="7:117" s="5" customFormat="1">
      <c r="G366" s="34"/>
      <c r="H366" s="10"/>
      <c r="I366" s="10"/>
      <c r="J366" s="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 s="1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W366"/>
      <c r="BX366"/>
      <c r="BY366"/>
      <c r="BZ366"/>
      <c r="CA366"/>
      <c r="CB366"/>
      <c r="CC366"/>
      <c r="CD366"/>
      <c r="CE366" s="2"/>
      <c r="CF366" s="2"/>
      <c r="CG366" s="2"/>
      <c r="CH366" s="2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 s="3"/>
      <c r="DK366"/>
      <c r="DL366"/>
      <c r="DM366"/>
    </row>
    <row r="367" spans="7:117" s="5" customFormat="1">
      <c r="G367" s="34"/>
      <c r="H367" s="10"/>
      <c r="I367" s="10"/>
      <c r="J367" s="6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 s="1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W367"/>
      <c r="BX367"/>
      <c r="BY367"/>
      <c r="BZ367"/>
      <c r="CA367"/>
      <c r="CB367"/>
      <c r="CC367"/>
      <c r="CD367"/>
      <c r="CE367" s="2"/>
      <c r="CF367" s="2"/>
      <c r="CG367" s="2"/>
      <c r="CH367" s="2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 s="3"/>
      <c r="DK367"/>
      <c r="DL367"/>
      <c r="DM367"/>
    </row>
    <row r="368" spans="7:117" s="5" customFormat="1">
      <c r="G368" s="34"/>
      <c r="H368" s="10"/>
      <c r="I368" s="10"/>
      <c r="J368" s="6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 s="1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W368"/>
      <c r="BX368"/>
      <c r="BY368"/>
      <c r="BZ368"/>
      <c r="CA368"/>
      <c r="CB368"/>
      <c r="CC368"/>
      <c r="CD368"/>
      <c r="CE368" s="2"/>
      <c r="CF368" s="2"/>
      <c r="CG368" s="2"/>
      <c r="CH368" s="2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 s="3"/>
      <c r="DK368"/>
      <c r="DL368"/>
      <c r="DM368"/>
    </row>
    <row r="369" spans="7:117" s="5" customFormat="1">
      <c r="G369" s="34"/>
      <c r="H369" s="10"/>
      <c r="I369" s="10"/>
      <c r="J369" s="6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 s="1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W369"/>
      <c r="BX369"/>
      <c r="BY369"/>
      <c r="BZ369"/>
      <c r="CA369"/>
      <c r="CB369"/>
      <c r="CC369"/>
      <c r="CD369"/>
      <c r="CE369" s="2"/>
      <c r="CF369" s="2"/>
      <c r="CG369" s="2"/>
      <c r="CH369" s="2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 s="3"/>
      <c r="DK369"/>
      <c r="DL369"/>
      <c r="DM369"/>
    </row>
    <row r="370" spans="7:117" s="5" customFormat="1">
      <c r="G370" s="34"/>
      <c r="H370" s="10"/>
      <c r="I370" s="10"/>
      <c r="J370" s="6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 s="1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W370"/>
      <c r="BX370"/>
      <c r="BY370"/>
      <c r="BZ370"/>
      <c r="CA370"/>
      <c r="CB370"/>
      <c r="CC370"/>
      <c r="CD370"/>
      <c r="CE370" s="2"/>
      <c r="CF370" s="2"/>
      <c r="CG370" s="2"/>
      <c r="CH370" s="2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 s="3"/>
      <c r="DK370"/>
      <c r="DL370"/>
      <c r="DM370"/>
    </row>
    <row r="371" spans="7:117" s="5" customFormat="1">
      <c r="G371" s="34"/>
      <c r="H371" s="10"/>
      <c r="I371" s="10"/>
      <c r="J371" s="6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 s="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W371"/>
      <c r="BX371"/>
      <c r="BY371"/>
      <c r="BZ371"/>
      <c r="CA371"/>
      <c r="CB371"/>
      <c r="CC371"/>
      <c r="CD371"/>
      <c r="CE371" s="2"/>
      <c r="CF371" s="2"/>
      <c r="CG371" s="2"/>
      <c r="CH371" s="2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 s="3"/>
      <c r="DK371"/>
      <c r="DL371"/>
      <c r="DM371"/>
    </row>
    <row r="372" spans="7:117" s="5" customFormat="1">
      <c r="G372" s="34"/>
      <c r="H372" s="10"/>
      <c r="I372" s="10"/>
      <c r="J372" s="6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 s="1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W372"/>
      <c r="BX372"/>
      <c r="BY372"/>
      <c r="BZ372"/>
      <c r="CA372"/>
      <c r="CB372"/>
      <c r="CC372"/>
      <c r="CD372"/>
      <c r="CE372" s="2"/>
      <c r="CF372" s="2"/>
      <c r="CG372" s="2"/>
      <c r="CH372" s="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 s="3"/>
      <c r="DK372"/>
      <c r="DL372"/>
      <c r="DM372"/>
    </row>
    <row r="373" spans="7:117" s="5" customFormat="1">
      <c r="G373" s="34"/>
      <c r="H373" s="10"/>
      <c r="I373" s="10"/>
      <c r="J373" s="6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 s="1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W373"/>
      <c r="BX373"/>
      <c r="BY373"/>
      <c r="BZ373"/>
      <c r="CA373"/>
      <c r="CB373"/>
      <c r="CC373"/>
      <c r="CD373"/>
      <c r="CE373" s="2"/>
      <c r="CF373" s="2"/>
      <c r="CG373" s="2"/>
      <c r="CH373" s="2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 s="3"/>
      <c r="DK373"/>
      <c r="DL373"/>
      <c r="DM373"/>
    </row>
    <row r="374" spans="7:117" s="5" customFormat="1">
      <c r="G374" s="34"/>
      <c r="H374" s="10"/>
      <c r="I374" s="10"/>
      <c r="J374" s="6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 s="1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W374"/>
      <c r="BX374"/>
      <c r="BY374"/>
      <c r="BZ374"/>
      <c r="CA374"/>
      <c r="CB374"/>
      <c r="CC374"/>
      <c r="CD374"/>
      <c r="CE374" s="2"/>
      <c r="CF374" s="2"/>
      <c r="CG374" s="2"/>
      <c r="CH374" s="2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 s="3"/>
      <c r="DK374"/>
      <c r="DL374"/>
      <c r="DM374"/>
    </row>
    <row r="375" spans="7:117" s="5" customFormat="1">
      <c r="G375" s="34"/>
      <c r="H375" s="10"/>
      <c r="I375" s="10"/>
      <c r="J375" s="6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 s="1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W375"/>
      <c r="BX375"/>
      <c r="BY375"/>
      <c r="BZ375"/>
      <c r="CA375"/>
      <c r="CB375"/>
      <c r="CC375"/>
      <c r="CD375"/>
      <c r="CE375" s="2"/>
      <c r="CF375" s="2"/>
      <c r="CG375" s="2"/>
      <c r="CH375" s="2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 s="3"/>
      <c r="DK375"/>
      <c r="DL375"/>
      <c r="DM375"/>
    </row>
    <row r="376" spans="7:117" s="5" customFormat="1">
      <c r="G376" s="34"/>
      <c r="H376" s="10"/>
      <c r="I376" s="10"/>
      <c r="J376" s="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 s="1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W376"/>
      <c r="BX376"/>
      <c r="BY376"/>
      <c r="BZ376"/>
      <c r="CA376"/>
      <c r="CB376"/>
      <c r="CC376"/>
      <c r="CD376"/>
      <c r="CE376" s="2"/>
      <c r="CF376" s="2"/>
      <c r="CG376" s="2"/>
      <c r="CH376" s="2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 s="3"/>
      <c r="DK376"/>
      <c r="DL376"/>
      <c r="DM376"/>
    </row>
    <row r="377" spans="7:117" s="5" customFormat="1">
      <c r="G377" s="34"/>
      <c r="H377" s="10"/>
      <c r="I377" s="10"/>
      <c r="J377" s="6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 s="1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W377"/>
      <c r="BX377"/>
      <c r="BY377"/>
      <c r="BZ377"/>
      <c r="CA377"/>
      <c r="CB377"/>
      <c r="CC377"/>
      <c r="CD377"/>
      <c r="CE377" s="2"/>
      <c r="CF377" s="2"/>
      <c r="CG377" s="2"/>
      <c r="CH377" s="2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 s="3"/>
      <c r="DK377"/>
      <c r="DL377"/>
      <c r="DM377"/>
    </row>
    <row r="378" spans="7:117" s="5" customFormat="1">
      <c r="G378" s="34"/>
      <c r="H378" s="10"/>
      <c r="I378" s="10"/>
      <c r="J378" s="6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 s="1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W378"/>
      <c r="BX378"/>
      <c r="BY378"/>
      <c r="BZ378"/>
      <c r="CA378"/>
      <c r="CB378"/>
      <c r="CC378"/>
      <c r="CD378"/>
      <c r="CE378" s="2"/>
      <c r="CF378" s="2"/>
      <c r="CG378" s="2"/>
      <c r="CH378" s="2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 s="3"/>
      <c r="DK378"/>
      <c r="DL378"/>
      <c r="DM378"/>
    </row>
    <row r="379" spans="7:117">
      <c r="G379" s="34"/>
      <c r="H379" s="10"/>
      <c r="I379" s="10"/>
      <c r="J379" s="6"/>
    </row>
    <row r="380" spans="7:117">
      <c r="G380" s="34"/>
      <c r="H380" s="10"/>
      <c r="I380" s="10"/>
      <c r="J380" s="6"/>
    </row>
  </sheetData>
  <dataConsolidate/>
  <hyperlinks>
    <hyperlink ref="AT10" r:id="rId1"/>
    <hyperlink ref="AT4" r:id="rId2"/>
    <hyperlink ref="AO4" r:id="rId3" display="1"/>
    <hyperlink ref="AT5" r:id="rId4"/>
  </hyperlinks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Staff</vt:lpstr>
      <vt:lpstr>dorothers2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COMUI HR DEPARTMENT</dc:creator>
  <cp:lastModifiedBy>COMUI HR DEPARTMENT</cp:lastModifiedBy>
  <dcterms:created xsi:type="dcterms:W3CDTF">2026-07-31T10:33:50Z</dcterms:created>
  <dcterms:modified xsi:type="dcterms:W3CDTF">2026-07-31T11:01:31Z</dcterms:modified>
</cp:coreProperties>
</file>